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f70dc3515522d40/Desktop/"/>
    </mc:Choice>
  </mc:AlternateContent>
  <xr:revisionPtr revIDLastSave="4" documentId="8_{64F36108-6AA5-4479-8D58-5C4B3143D82B}" xr6:coauthVersionLast="47" xr6:coauthVersionMax="47" xr10:uidLastSave="{FE028551-E7D3-408E-A081-EEA5938E6B2B}"/>
  <bookViews>
    <workbookView xWindow="-108" yWindow="-108" windowWidth="23256" windowHeight="12456" xr2:uid="{8941805B-FDC1-439A-AA27-F6ECD188C677}"/>
  </bookViews>
  <sheets>
    <sheet name="Monte Carlo Simula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" l="1"/>
  <c r="M9" i="1"/>
  <c r="M7" i="1"/>
  <c r="M6" i="1"/>
  <c r="H21" i="1"/>
  <c r="G21" i="1"/>
  <c r="I21" i="1"/>
  <c r="H20" i="1"/>
  <c r="G20" i="1"/>
  <c r="H18" i="1"/>
  <c r="G18" i="1"/>
  <c r="I18" i="1"/>
  <c r="E27" i="1" s="1"/>
  <c r="I15" i="1"/>
  <c r="H15" i="1"/>
  <c r="G15" i="1"/>
  <c r="J15" i="1"/>
  <c r="E25" i="1" s="1"/>
  <c r="J12" i="1"/>
  <c r="E24" i="1" s="1"/>
  <c r="I12" i="1"/>
  <c r="H12" i="1"/>
  <c r="G12" i="1"/>
  <c r="I9" i="1"/>
  <c r="H9" i="1"/>
  <c r="G9" i="1"/>
  <c r="C30" i="1"/>
  <c r="C27" i="1"/>
  <c r="C25" i="1"/>
  <c r="C24" i="1"/>
  <c r="E26" i="1" l="1"/>
  <c r="E28" i="1"/>
  <c r="C28" i="1"/>
  <c r="C26" i="1"/>
  <c r="E29" i="1" l="1"/>
  <c r="C29" i="1"/>
  <c r="C31" i="1" s="1"/>
  <c r="E30" i="1" l="1"/>
  <c r="E31" i="1" s="1"/>
</calcChain>
</file>

<file path=xl/sharedStrings.xml><?xml version="1.0" encoding="utf-8"?>
<sst xmlns="http://schemas.openxmlformats.org/spreadsheetml/2006/main" count="50" uniqueCount="38">
  <si>
    <t>Monte Carlo Simulation</t>
  </si>
  <si>
    <t>Assumptions</t>
  </si>
  <si>
    <t>Sales Volume</t>
  </si>
  <si>
    <t>Sales Price</t>
  </si>
  <si>
    <t>Cost of Sales</t>
  </si>
  <si>
    <t>Tax excemption</t>
  </si>
  <si>
    <t>Model</t>
  </si>
  <si>
    <t>Traditional</t>
  </si>
  <si>
    <t>Min</t>
  </si>
  <si>
    <t>Most Likely</t>
  </si>
  <si>
    <t>Max</t>
  </si>
  <si>
    <t>Mean</t>
  </si>
  <si>
    <t>Std. deviation</t>
  </si>
  <si>
    <t>Mean (Expected)</t>
  </si>
  <si>
    <t>Sales</t>
  </si>
  <si>
    <t>Cost of sales per item</t>
  </si>
  <si>
    <t>Cost of sales</t>
  </si>
  <si>
    <t>Profit</t>
  </si>
  <si>
    <t>Tax</t>
  </si>
  <si>
    <t>Profit After Tax</t>
  </si>
  <si>
    <t>Distribution</t>
  </si>
  <si>
    <t>Triangular</t>
  </si>
  <si>
    <t>Uniform</t>
  </si>
  <si>
    <t>Normal</t>
  </si>
  <si>
    <t>Discrete</t>
  </si>
  <si>
    <t>Monte Carlo</t>
  </si>
  <si>
    <t>Lower Range</t>
  </si>
  <si>
    <t>Higher Range</t>
  </si>
  <si>
    <t>Total Range</t>
  </si>
  <si>
    <t>Cumulative Probability</t>
  </si>
  <si>
    <t>Max-Min</t>
  </si>
  <si>
    <t>Random</t>
  </si>
  <si>
    <t>Counter</t>
  </si>
  <si>
    <t>Iterations</t>
  </si>
  <si>
    <t>Average</t>
  </si>
  <si>
    <t>Probability above:</t>
  </si>
  <si>
    <t>Iteration</t>
  </si>
  <si>
    <t>Net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</si>
</sst>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2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3" fillId="2" borderId="0" xfId="0" applyFont="1" applyFill="1"/>
    <xf numFmtId="2" fontId="0" fillId="0" borderId="0" xfId="0" applyNumberFormat="1"/>
    <xf numFmtId="0" fontId="0" fillId="0" borderId="1" xfId="0" applyBorder="1"/>
    <xf numFmtId="0" fontId="2" fillId="0" borderId="2" xfId="0" applyFont="1" applyBorder="1"/>
    <xf numFmtId="0" fontId="0" fillId="0" borderId="2" xfId="0" applyBorder="1"/>
    <xf numFmtId="0" fontId="2" fillId="3" borderId="3" xfId="0" applyFont="1" applyFill="1" applyBorder="1"/>
    <xf numFmtId="9" fontId="0" fillId="0" borderId="0" xfId="2" applyFont="1"/>
    <xf numFmtId="2" fontId="0" fillId="0" borderId="1" xfId="0" applyNumberFormat="1" applyBorder="1"/>
    <xf numFmtId="2" fontId="0" fillId="0" borderId="0" xfId="0" applyNumberFormat="1" applyFill="1" applyBorder="1"/>
    <xf numFmtId="0" fontId="0" fillId="0" borderId="4" xfId="0" applyBorder="1"/>
    <xf numFmtId="2" fontId="0" fillId="0" borderId="4" xfId="0" applyNumberFormat="1" applyBorder="1"/>
    <xf numFmtId="9" fontId="0" fillId="0" borderId="4" xfId="0" applyNumberFormat="1" applyBorder="1"/>
    <xf numFmtId="172" fontId="0" fillId="0" borderId="0" xfId="1" applyNumberFormat="1" applyFont="1"/>
    <xf numFmtId="172" fontId="2" fillId="0" borderId="2" xfId="1" applyNumberFormat="1" applyFont="1" applyBorder="1"/>
    <xf numFmtId="172" fontId="0" fillId="0" borderId="0" xfId="1" applyNumberFormat="1" applyFont="1" applyFill="1" applyBorder="1"/>
    <xf numFmtId="172" fontId="0" fillId="0" borderId="2" xfId="1" applyNumberFormat="1" applyFont="1" applyBorder="1"/>
    <xf numFmtId="172" fontId="2" fillId="3" borderId="3" xfId="1" applyNumberFormat="1" applyFont="1" applyFill="1" applyBorder="1"/>
    <xf numFmtId="172" fontId="0" fillId="0" borderId="4" xfId="1" applyNumberFormat="1" applyFont="1" applyBorder="1"/>
    <xf numFmtId="43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2</xdr:row>
          <xdr:rowOff>7620</xdr:rowOff>
        </xdr:from>
        <xdr:to>
          <xdr:col>13</xdr:col>
          <xdr:colOff>7620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1A43-936E-4D47-89B4-422F8FE67AB1}">
  <sheetPr codeName="Sheet1"/>
  <dimension ref="B2:M1506"/>
  <sheetViews>
    <sheetView tabSelected="1" topLeftCell="C1" workbookViewId="0">
      <selection activeCell="P6" sqref="P6"/>
    </sheetView>
  </sheetViews>
  <sheetFormatPr defaultRowHeight="14.4" x14ac:dyDescent="0.3"/>
  <cols>
    <col min="2" max="2" width="26.6640625" customWidth="1"/>
    <col min="3" max="3" width="14.77734375" bestFit="1" customWidth="1"/>
    <col min="4" max="4" width="10.33203125" bestFit="1" customWidth="1"/>
    <col min="5" max="5" width="16.77734375" customWidth="1"/>
    <col min="6" max="6" width="11.5546875" bestFit="1" customWidth="1"/>
    <col min="7" max="7" width="11.6640625" bestFit="1" customWidth="1"/>
    <col min="8" max="8" width="11.77734375" customWidth="1"/>
    <col min="9" max="9" width="12.109375" customWidth="1"/>
    <col min="10" max="10" width="19.44140625" bestFit="1" customWidth="1"/>
    <col min="12" max="12" width="15.77734375" bestFit="1" customWidth="1"/>
    <col min="13" max="13" width="12.33203125" bestFit="1" customWidth="1"/>
  </cols>
  <sheetData>
    <row r="2" spans="2:13" x14ac:dyDescent="0.3">
      <c r="B2" t="s">
        <v>0</v>
      </c>
    </row>
    <row r="5" spans="2:13" x14ac:dyDescent="0.3">
      <c r="L5" t="s">
        <v>32</v>
      </c>
      <c r="M5">
        <v>1000</v>
      </c>
    </row>
    <row r="6" spans="2:13" x14ac:dyDescent="0.3">
      <c r="L6" t="s">
        <v>33</v>
      </c>
      <c r="M6">
        <f>COUNT(M13)</f>
        <v>1</v>
      </c>
    </row>
    <row r="7" spans="2:13" x14ac:dyDescent="0.3">
      <c r="B7" s="1" t="s">
        <v>1</v>
      </c>
      <c r="C7" s="1"/>
      <c r="D7" s="1"/>
      <c r="E7" s="1" t="s">
        <v>20</v>
      </c>
      <c r="L7" t="s">
        <v>34</v>
      </c>
      <c r="M7" s="13">
        <f>AVERAGE($M$13:$M$1202)</f>
        <v>115616.19133997003</v>
      </c>
    </row>
    <row r="8" spans="2:13" x14ac:dyDescent="0.3">
      <c r="B8" t="s">
        <v>2</v>
      </c>
      <c r="C8" t="s">
        <v>8</v>
      </c>
      <c r="D8" s="13">
        <v>25000</v>
      </c>
      <c r="E8" t="s">
        <v>21</v>
      </c>
      <c r="G8" t="s">
        <v>8</v>
      </c>
      <c r="H8" t="s">
        <v>9</v>
      </c>
      <c r="I8" t="s">
        <v>10</v>
      </c>
      <c r="L8" t="s">
        <v>35</v>
      </c>
    </row>
    <row r="9" spans="2:13" x14ac:dyDescent="0.3">
      <c r="C9" t="s">
        <v>9</v>
      </c>
      <c r="D9" s="13">
        <v>40000</v>
      </c>
      <c r="G9" s="18">
        <f>D8</f>
        <v>25000</v>
      </c>
      <c r="H9" s="18">
        <f>D9</f>
        <v>40000</v>
      </c>
      <c r="I9" s="18">
        <f>D10</f>
        <v>45000</v>
      </c>
      <c r="L9" s="13">
        <v>120000</v>
      </c>
      <c r="M9" s="19">
        <f>COUNTIF($M$13:$M$1202,"&gt;120000")/M5</f>
        <v>0.435</v>
      </c>
    </row>
    <row r="10" spans="2:13" x14ac:dyDescent="0.3">
      <c r="C10" t="s">
        <v>10</v>
      </c>
      <c r="D10" s="13">
        <v>45000</v>
      </c>
      <c r="L10" s="13">
        <v>150000</v>
      </c>
      <c r="M10" s="19">
        <f>COUNTIF($M$13:$M$1202,"&gt;150000")/M5</f>
        <v>0.16700000000000001</v>
      </c>
    </row>
    <row r="11" spans="2:13" x14ac:dyDescent="0.3">
      <c r="G11" t="s">
        <v>26</v>
      </c>
      <c r="H11" t="s">
        <v>27</v>
      </c>
      <c r="I11" t="s">
        <v>28</v>
      </c>
      <c r="J11" t="s">
        <v>29</v>
      </c>
    </row>
    <row r="12" spans="2:13" x14ac:dyDescent="0.3">
      <c r="G12" s="18">
        <f>H9-G9</f>
        <v>15000</v>
      </c>
      <c r="H12" s="18">
        <f>I9-H9</f>
        <v>5000</v>
      </c>
      <c r="I12" s="18">
        <f>I9-G9</f>
        <v>20000</v>
      </c>
      <c r="J12" s="10">
        <f ca="1">RAND()</f>
        <v>0.6474638843345476</v>
      </c>
      <c r="L12" s="1" t="s">
        <v>36</v>
      </c>
      <c r="M12" s="1" t="s">
        <v>37</v>
      </c>
    </row>
    <row r="13" spans="2:13" x14ac:dyDescent="0.3">
      <c r="L13">
        <v>1</v>
      </c>
      <c r="M13" s="13">
        <v>114141.52768956606</v>
      </c>
    </row>
    <row r="14" spans="2:13" x14ac:dyDescent="0.3">
      <c r="B14" t="s">
        <v>3</v>
      </c>
      <c r="C14" t="s">
        <v>8</v>
      </c>
      <c r="D14" s="2">
        <v>8</v>
      </c>
      <c r="E14" t="s">
        <v>22</v>
      </c>
      <c r="G14" t="s">
        <v>8</v>
      </c>
      <c r="H14" t="s">
        <v>10</v>
      </c>
      <c r="I14" t="s">
        <v>30</v>
      </c>
      <c r="J14" t="s">
        <v>31</v>
      </c>
      <c r="L14">
        <v>2</v>
      </c>
      <c r="M14" s="13">
        <v>126321.24798337581</v>
      </c>
    </row>
    <row r="15" spans="2:13" x14ac:dyDescent="0.3">
      <c r="C15" t="s">
        <v>10</v>
      </c>
      <c r="D15" s="2">
        <v>8.5</v>
      </c>
      <c r="G15" s="11">
        <f>D14</f>
        <v>8</v>
      </c>
      <c r="H15" s="11">
        <f>D15</f>
        <v>8.5</v>
      </c>
      <c r="I15" s="11">
        <f>H15-G15</f>
        <v>0.5</v>
      </c>
      <c r="J15" s="10">
        <f ca="1">RAND()</f>
        <v>0.86974841060003538</v>
      </c>
      <c r="L15">
        <v>3</v>
      </c>
      <c r="M15" s="13">
        <v>104937.56159968161</v>
      </c>
    </row>
    <row r="16" spans="2:13" x14ac:dyDescent="0.3">
      <c r="L16">
        <v>4</v>
      </c>
      <c r="M16" s="13">
        <v>113445.07462919565</v>
      </c>
    </row>
    <row r="17" spans="2:13" x14ac:dyDescent="0.3">
      <c r="B17" t="s">
        <v>4</v>
      </c>
      <c r="C17" t="s">
        <v>13</v>
      </c>
      <c r="D17" s="2">
        <v>4.8</v>
      </c>
      <c r="E17" t="s">
        <v>23</v>
      </c>
      <c r="G17" t="s">
        <v>11</v>
      </c>
      <c r="H17" t="s">
        <v>12</v>
      </c>
      <c r="I17" t="s">
        <v>31</v>
      </c>
      <c r="L17">
        <v>5</v>
      </c>
      <c r="M17" s="13">
        <v>99022.860833915853</v>
      </c>
    </row>
    <row r="18" spans="2:13" x14ac:dyDescent="0.3">
      <c r="C18" t="s">
        <v>12</v>
      </c>
      <c r="D18" s="2">
        <v>0.75</v>
      </c>
      <c r="G18" s="11">
        <f>D17</f>
        <v>4.8</v>
      </c>
      <c r="H18" s="11">
        <f>D18</f>
        <v>0.75</v>
      </c>
      <c r="I18" s="10">
        <f ca="1">RAND()</f>
        <v>0.26880981372304191</v>
      </c>
      <c r="L18">
        <v>6</v>
      </c>
      <c r="M18" s="13">
        <v>103905.66374735706</v>
      </c>
    </row>
    <row r="19" spans="2:13" x14ac:dyDescent="0.3">
      <c r="L19">
        <v>7</v>
      </c>
      <c r="M19" s="13">
        <v>96999.042306768359</v>
      </c>
    </row>
    <row r="20" spans="2:13" x14ac:dyDescent="0.3">
      <c r="B20" t="s">
        <v>5</v>
      </c>
      <c r="C20" s="2">
        <v>0.7</v>
      </c>
      <c r="D20" s="7">
        <v>0</v>
      </c>
      <c r="E20" t="s">
        <v>24</v>
      </c>
      <c r="G20" s="2">
        <f>C20</f>
        <v>0.7</v>
      </c>
      <c r="H20" s="2">
        <f>C21</f>
        <v>0.3</v>
      </c>
      <c r="I20" t="s">
        <v>31</v>
      </c>
      <c r="L20">
        <v>8</v>
      </c>
      <c r="M20" s="13">
        <v>71585.977236494276</v>
      </c>
    </row>
    <row r="21" spans="2:13" x14ac:dyDescent="0.3">
      <c r="C21" s="2">
        <v>0.3</v>
      </c>
      <c r="D21" s="7">
        <v>0.35</v>
      </c>
      <c r="G21" s="12">
        <f>D20</f>
        <v>0</v>
      </c>
      <c r="H21" s="12">
        <f>D21</f>
        <v>0.35</v>
      </c>
      <c r="I21" s="10">
        <f ca="1">RAND()</f>
        <v>0.3304755268213454</v>
      </c>
      <c r="L21">
        <v>9</v>
      </c>
      <c r="M21" s="13">
        <v>145657.18922257761</v>
      </c>
    </row>
    <row r="22" spans="2:13" x14ac:dyDescent="0.3">
      <c r="L22">
        <v>10</v>
      </c>
      <c r="M22" s="13">
        <v>151588.68115577538</v>
      </c>
    </row>
    <row r="23" spans="2:13" x14ac:dyDescent="0.3">
      <c r="B23" s="1" t="s">
        <v>6</v>
      </c>
      <c r="C23" s="1" t="s">
        <v>7</v>
      </c>
      <c r="D23" s="1"/>
      <c r="E23" s="1" t="s">
        <v>25</v>
      </c>
      <c r="L23">
        <v>11</v>
      </c>
      <c r="M23" s="13">
        <v>182356.63255214147</v>
      </c>
    </row>
    <row r="24" spans="2:13" x14ac:dyDescent="0.3">
      <c r="B24" t="s">
        <v>2</v>
      </c>
      <c r="C24" s="13">
        <f>D9</f>
        <v>40000</v>
      </c>
      <c r="D24" s="13"/>
      <c r="E24" s="13">
        <f ca="1">IF(J12&lt;(G12/I12),G9+SQRT(J12*G12*I12),I9-SQRT((1-J12)*H12*I12))</f>
        <v>38936.971166661868</v>
      </c>
      <c r="L24">
        <v>12</v>
      </c>
      <c r="M24" s="13">
        <v>164257.21831290046</v>
      </c>
    </row>
    <row r="25" spans="2:13" x14ac:dyDescent="0.3">
      <c r="B25" s="3" t="s">
        <v>3</v>
      </c>
      <c r="C25" s="8">
        <f>AVERAGE(D14,D15)</f>
        <v>8.25</v>
      </c>
      <c r="D25" s="3"/>
      <c r="E25" s="2">
        <f ca="1">G15+J15*I15</f>
        <v>8.4348742053000176</v>
      </c>
      <c r="L25">
        <v>13</v>
      </c>
      <c r="M25" s="13">
        <v>117208.98082227889</v>
      </c>
    </row>
    <row r="26" spans="2:13" x14ac:dyDescent="0.3">
      <c r="B26" s="4" t="s">
        <v>14</v>
      </c>
      <c r="C26" s="14">
        <f>C24*C25</f>
        <v>330000</v>
      </c>
      <c r="D26" s="14"/>
      <c r="E26" s="14">
        <f ca="1">E24*E25</f>
        <v>328428.45372618671</v>
      </c>
      <c r="L26">
        <v>14</v>
      </c>
      <c r="M26" s="13">
        <v>113062.06983619739</v>
      </c>
    </row>
    <row r="27" spans="2:13" x14ac:dyDescent="0.3">
      <c r="B27" t="s">
        <v>15</v>
      </c>
      <c r="C27" s="9">
        <f>D17</f>
        <v>4.8</v>
      </c>
      <c r="E27" s="2">
        <f ca="1">G18+_xlfn.NORM.S.INV(I18)*H18</f>
        <v>4.3376875810213411</v>
      </c>
      <c r="L27">
        <v>15</v>
      </c>
      <c r="M27" s="13">
        <v>57881.482177277838</v>
      </c>
    </row>
    <row r="28" spans="2:13" x14ac:dyDescent="0.3">
      <c r="B28" t="s">
        <v>16</v>
      </c>
      <c r="C28" s="15">
        <f>C24*C27</f>
        <v>192000</v>
      </c>
      <c r="D28" s="15"/>
      <c r="E28" s="15">
        <f ca="1">E24*E27</f>
        <v>168896.41627221523</v>
      </c>
      <c r="L28">
        <v>16</v>
      </c>
      <c r="M28" s="13">
        <v>149659.22213053622</v>
      </c>
    </row>
    <row r="29" spans="2:13" x14ac:dyDescent="0.3">
      <c r="B29" s="5" t="s">
        <v>17</v>
      </c>
      <c r="C29" s="16">
        <f>C26-C28</f>
        <v>138000</v>
      </c>
      <c r="D29" s="16"/>
      <c r="E29" s="16">
        <f ca="1">E26-E28</f>
        <v>159532.03745397148</v>
      </c>
      <c r="L29">
        <v>17</v>
      </c>
      <c r="M29" s="13">
        <v>71319.016912513791</v>
      </c>
    </row>
    <row r="30" spans="2:13" x14ac:dyDescent="0.3">
      <c r="B30" s="5" t="s">
        <v>18</v>
      </c>
      <c r="C30" s="16">
        <f>(C20*D20+C21*D21)*C29</f>
        <v>14490</v>
      </c>
      <c r="D30" s="16"/>
      <c r="E30" s="16">
        <f ca="1">IF(I21&lt;H20,H21,G21)*E29</f>
        <v>0</v>
      </c>
      <c r="G30" s="13"/>
      <c r="L30">
        <v>18</v>
      </c>
      <c r="M30" s="13">
        <v>99561.765567682887</v>
      </c>
    </row>
    <row r="31" spans="2:13" ht="15" thickBot="1" x14ac:dyDescent="0.35">
      <c r="B31" s="6" t="s">
        <v>19</v>
      </c>
      <c r="C31" s="17">
        <f>C29-C30</f>
        <v>123510</v>
      </c>
      <c r="D31" s="17"/>
      <c r="E31" s="17">
        <f ca="1">E29-E30</f>
        <v>159532.03745397148</v>
      </c>
      <c r="L31">
        <v>19</v>
      </c>
      <c r="M31" s="13">
        <v>115269.81773797408</v>
      </c>
    </row>
    <row r="32" spans="2:13" x14ac:dyDescent="0.3">
      <c r="L32">
        <v>20</v>
      </c>
      <c r="M32" s="13">
        <v>116835.97601558868</v>
      </c>
    </row>
    <row r="33" spans="12:13" x14ac:dyDescent="0.3">
      <c r="L33">
        <v>21</v>
      </c>
      <c r="M33" s="13">
        <v>98009.281591357081</v>
      </c>
    </row>
    <row r="34" spans="12:13" x14ac:dyDescent="0.3">
      <c r="L34">
        <v>22</v>
      </c>
      <c r="M34" s="13">
        <v>93668.940050857986</v>
      </c>
    </row>
    <row r="35" spans="12:13" x14ac:dyDescent="0.3">
      <c r="L35">
        <v>23</v>
      </c>
      <c r="M35" s="13">
        <v>132906.41842428673</v>
      </c>
    </row>
    <row r="36" spans="12:13" x14ac:dyDescent="0.3">
      <c r="L36">
        <v>24</v>
      </c>
      <c r="M36" s="13">
        <v>141281.24592322379</v>
      </c>
    </row>
    <row r="37" spans="12:13" x14ac:dyDescent="0.3">
      <c r="L37">
        <v>25</v>
      </c>
      <c r="M37" s="13">
        <v>125891.73657513555</v>
      </c>
    </row>
    <row r="38" spans="12:13" x14ac:dyDescent="0.3">
      <c r="L38">
        <v>26</v>
      </c>
      <c r="M38" s="13">
        <v>142453.97346726331</v>
      </c>
    </row>
    <row r="39" spans="12:13" x14ac:dyDescent="0.3">
      <c r="L39">
        <v>27</v>
      </c>
      <c r="M39" s="13">
        <v>112392.5354610442</v>
      </c>
    </row>
    <row r="40" spans="12:13" x14ac:dyDescent="0.3">
      <c r="L40">
        <v>28</v>
      </c>
      <c r="M40" s="13">
        <v>102153.41609720688</v>
      </c>
    </row>
    <row r="41" spans="12:13" x14ac:dyDescent="0.3">
      <c r="L41">
        <v>29</v>
      </c>
      <c r="M41" s="13">
        <v>97220.25373142914</v>
      </c>
    </row>
    <row r="42" spans="12:13" x14ac:dyDescent="0.3">
      <c r="L42">
        <v>30</v>
      </c>
      <c r="M42" s="13">
        <v>115120.79671650406</v>
      </c>
    </row>
    <row r="43" spans="12:13" x14ac:dyDescent="0.3">
      <c r="L43">
        <v>31</v>
      </c>
      <c r="M43" s="13">
        <v>157040.97364144452</v>
      </c>
    </row>
    <row r="44" spans="12:13" x14ac:dyDescent="0.3">
      <c r="L44">
        <v>32</v>
      </c>
      <c r="M44" s="13">
        <v>153388.67417501326</v>
      </c>
    </row>
    <row r="45" spans="12:13" x14ac:dyDescent="0.3">
      <c r="L45">
        <v>33</v>
      </c>
      <c r="M45" s="13">
        <v>149420.6876759764</v>
      </c>
    </row>
    <row r="46" spans="12:13" x14ac:dyDescent="0.3">
      <c r="L46">
        <v>34</v>
      </c>
      <c r="M46" s="13">
        <v>104086.80085413903</v>
      </c>
    </row>
    <row r="47" spans="12:13" x14ac:dyDescent="0.3">
      <c r="L47">
        <v>35</v>
      </c>
      <c r="M47" s="13">
        <v>209137.90775235227</v>
      </c>
    </row>
    <row r="48" spans="12:13" x14ac:dyDescent="0.3">
      <c r="L48">
        <v>36</v>
      </c>
      <c r="M48" s="13">
        <v>157458.45808342024</v>
      </c>
    </row>
    <row r="49" spans="12:13" x14ac:dyDescent="0.3">
      <c r="L49">
        <v>37</v>
      </c>
      <c r="M49" s="13">
        <v>94637.891127320123</v>
      </c>
    </row>
    <row r="50" spans="12:13" x14ac:dyDescent="0.3">
      <c r="L50">
        <v>38</v>
      </c>
      <c r="M50" s="13">
        <v>91441.394630593975</v>
      </c>
    </row>
    <row r="51" spans="12:13" x14ac:dyDescent="0.3">
      <c r="L51">
        <v>39</v>
      </c>
      <c r="M51" s="13">
        <v>148689.62630682808</v>
      </c>
    </row>
    <row r="52" spans="12:13" x14ac:dyDescent="0.3">
      <c r="L52">
        <v>40</v>
      </c>
      <c r="M52" s="13">
        <v>84257.888467743003</v>
      </c>
    </row>
    <row r="53" spans="12:13" x14ac:dyDescent="0.3">
      <c r="L53">
        <v>41</v>
      </c>
      <c r="M53" s="13">
        <v>128501.48668563602</v>
      </c>
    </row>
    <row r="54" spans="12:13" x14ac:dyDescent="0.3">
      <c r="L54">
        <v>42</v>
      </c>
      <c r="M54" s="13">
        <v>182094.55330210418</v>
      </c>
    </row>
    <row r="55" spans="12:13" x14ac:dyDescent="0.3">
      <c r="L55">
        <v>43</v>
      </c>
      <c r="M55" s="13">
        <v>149803.5600645883</v>
      </c>
    </row>
    <row r="56" spans="12:13" x14ac:dyDescent="0.3">
      <c r="L56">
        <v>44</v>
      </c>
      <c r="M56" s="13">
        <v>88471.642907981528</v>
      </c>
    </row>
    <row r="57" spans="12:13" x14ac:dyDescent="0.3">
      <c r="L57">
        <v>45</v>
      </c>
      <c r="M57" s="13">
        <v>128313.10195333353</v>
      </c>
    </row>
    <row r="58" spans="12:13" x14ac:dyDescent="0.3">
      <c r="L58">
        <v>46</v>
      </c>
      <c r="M58" s="13">
        <v>68961.005400101101</v>
      </c>
    </row>
    <row r="59" spans="12:13" x14ac:dyDescent="0.3">
      <c r="L59">
        <v>47</v>
      </c>
      <c r="M59" s="13">
        <v>161371.50184935867</v>
      </c>
    </row>
    <row r="60" spans="12:13" x14ac:dyDescent="0.3">
      <c r="L60">
        <v>48</v>
      </c>
      <c r="M60" s="13">
        <v>107341.94703524534</v>
      </c>
    </row>
    <row r="61" spans="12:13" x14ac:dyDescent="0.3">
      <c r="L61">
        <v>49</v>
      </c>
      <c r="M61" s="13">
        <v>52865.238014799557</v>
      </c>
    </row>
    <row r="62" spans="12:13" x14ac:dyDescent="0.3">
      <c r="L62">
        <v>50</v>
      </c>
      <c r="M62" s="13">
        <v>164403.8200437937</v>
      </c>
    </row>
    <row r="63" spans="12:13" x14ac:dyDescent="0.3">
      <c r="L63">
        <v>51</v>
      </c>
      <c r="M63" s="13">
        <v>150965.9370666162</v>
      </c>
    </row>
    <row r="64" spans="12:13" x14ac:dyDescent="0.3">
      <c r="L64">
        <v>52</v>
      </c>
      <c r="M64" s="13">
        <v>137576.02893540717</v>
      </c>
    </row>
    <row r="65" spans="12:13" x14ac:dyDescent="0.3">
      <c r="L65">
        <v>53</v>
      </c>
      <c r="M65" s="13">
        <v>101493.32215093536</v>
      </c>
    </row>
    <row r="66" spans="12:13" x14ac:dyDescent="0.3">
      <c r="L66">
        <v>54</v>
      </c>
      <c r="M66" s="13">
        <v>144674.59200243044</v>
      </c>
    </row>
    <row r="67" spans="12:13" x14ac:dyDescent="0.3">
      <c r="L67">
        <v>55</v>
      </c>
      <c r="M67" s="13">
        <v>110227.98416040328</v>
      </c>
    </row>
    <row r="68" spans="12:13" x14ac:dyDescent="0.3">
      <c r="L68">
        <v>56</v>
      </c>
      <c r="M68" s="13">
        <v>126586.91057358478</v>
      </c>
    </row>
    <row r="69" spans="12:13" x14ac:dyDescent="0.3">
      <c r="L69">
        <v>57</v>
      </c>
      <c r="M69" s="13">
        <v>112290.44399101756</v>
      </c>
    </row>
    <row r="70" spans="12:13" x14ac:dyDescent="0.3">
      <c r="L70">
        <v>58</v>
      </c>
      <c r="M70" s="13">
        <v>85264.054798261641</v>
      </c>
    </row>
    <row r="71" spans="12:13" x14ac:dyDescent="0.3">
      <c r="L71">
        <v>59</v>
      </c>
      <c r="M71" s="13">
        <v>86197.160619498114</v>
      </c>
    </row>
    <row r="72" spans="12:13" x14ac:dyDescent="0.3">
      <c r="L72">
        <v>60</v>
      </c>
      <c r="M72" s="13">
        <v>143119.83452589027</v>
      </c>
    </row>
    <row r="73" spans="12:13" x14ac:dyDescent="0.3">
      <c r="L73">
        <v>61</v>
      </c>
      <c r="M73" s="13">
        <v>73435.095569835583</v>
      </c>
    </row>
    <row r="74" spans="12:13" x14ac:dyDescent="0.3">
      <c r="L74">
        <v>62</v>
      </c>
      <c r="M74" s="13">
        <v>113578.44901951839</v>
      </c>
    </row>
    <row r="75" spans="12:13" x14ac:dyDescent="0.3">
      <c r="L75">
        <v>63</v>
      </c>
      <c r="M75" s="13">
        <v>40427.465867778956</v>
      </c>
    </row>
    <row r="76" spans="12:13" x14ac:dyDescent="0.3">
      <c r="L76">
        <v>64</v>
      </c>
      <c r="M76" s="13">
        <v>119533.90136574573</v>
      </c>
    </row>
    <row r="77" spans="12:13" x14ac:dyDescent="0.3">
      <c r="L77">
        <v>65</v>
      </c>
      <c r="M77" s="13">
        <v>129247.88819389665</v>
      </c>
    </row>
    <row r="78" spans="12:13" x14ac:dyDescent="0.3">
      <c r="L78">
        <v>66</v>
      </c>
      <c r="M78" s="13">
        <v>148846.4695676344</v>
      </c>
    </row>
    <row r="79" spans="12:13" x14ac:dyDescent="0.3">
      <c r="L79">
        <v>67</v>
      </c>
      <c r="M79" s="13">
        <v>97324.501570700173</v>
      </c>
    </row>
    <row r="80" spans="12:13" x14ac:dyDescent="0.3">
      <c r="L80">
        <v>68</v>
      </c>
      <c r="M80" s="13">
        <v>74118.465115805011</v>
      </c>
    </row>
    <row r="81" spans="12:13" x14ac:dyDescent="0.3">
      <c r="L81">
        <v>69</v>
      </c>
      <c r="M81" s="13">
        <v>116463.03121083256</v>
      </c>
    </row>
    <row r="82" spans="12:13" x14ac:dyDescent="0.3">
      <c r="L82">
        <v>70</v>
      </c>
      <c r="M82" s="13">
        <v>128586.91401233579</v>
      </c>
    </row>
    <row r="83" spans="12:13" x14ac:dyDescent="0.3">
      <c r="L83">
        <v>71</v>
      </c>
      <c r="M83" s="13">
        <v>153623.30037097394</v>
      </c>
    </row>
    <row r="84" spans="12:13" x14ac:dyDescent="0.3">
      <c r="L84">
        <v>72</v>
      </c>
      <c r="M84" s="13">
        <v>103160.6886361088</v>
      </c>
    </row>
    <row r="85" spans="12:13" x14ac:dyDescent="0.3">
      <c r="L85">
        <v>73</v>
      </c>
      <c r="M85" s="13">
        <v>88122.698012959823</v>
      </c>
    </row>
    <row r="86" spans="12:13" x14ac:dyDescent="0.3">
      <c r="L86">
        <v>74</v>
      </c>
      <c r="M86" s="13">
        <v>185814.22521943256</v>
      </c>
    </row>
    <row r="87" spans="12:13" x14ac:dyDescent="0.3">
      <c r="L87">
        <v>75</v>
      </c>
      <c r="M87" s="13">
        <v>125685.25097062881</v>
      </c>
    </row>
    <row r="88" spans="12:13" x14ac:dyDescent="0.3">
      <c r="L88">
        <v>76</v>
      </c>
      <c r="M88" s="13">
        <v>162441.45086263388</v>
      </c>
    </row>
    <row r="89" spans="12:13" x14ac:dyDescent="0.3">
      <c r="L89">
        <v>77</v>
      </c>
      <c r="M89" s="13">
        <v>135307.73190391189</v>
      </c>
    </row>
    <row r="90" spans="12:13" x14ac:dyDescent="0.3">
      <c r="L90">
        <v>78</v>
      </c>
      <c r="M90" s="13">
        <v>71093.077195313948</v>
      </c>
    </row>
    <row r="91" spans="12:13" x14ac:dyDescent="0.3">
      <c r="L91">
        <v>79</v>
      </c>
      <c r="M91" s="13">
        <v>34732.674990650514</v>
      </c>
    </row>
    <row r="92" spans="12:13" x14ac:dyDescent="0.3">
      <c r="L92">
        <v>80</v>
      </c>
      <c r="M92" s="13">
        <v>137933.64930152617</v>
      </c>
    </row>
    <row r="93" spans="12:13" x14ac:dyDescent="0.3">
      <c r="L93">
        <v>81</v>
      </c>
      <c r="M93" s="13">
        <v>99971.495391479359</v>
      </c>
    </row>
    <row r="94" spans="12:13" x14ac:dyDescent="0.3">
      <c r="L94">
        <v>82</v>
      </c>
      <c r="M94" s="13">
        <v>90729.050954018036</v>
      </c>
    </row>
    <row r="95" spans="12:13" x14ac:dyDescent="0.3">
      <c r="L95">
        <v>83</v>
      </c>
      <c r="M95" s="13">
        <v>135230.66073782233</v>
      </c>
    </row>
    <row r="96" spans="12:13" x14ac:dyDescent="0.3">
      <c r="L96">
        <v>84</v>
      </c>
      <c r="M96" s="13">
        <v>68041.478105483751</v>
      </c>
    </row>
    <row r="97" spans="12:13" x14ac:dyDescent="0.3">
      <c r="L97">
        <v>85</v>
      </c>
      <c r="M97" s="13">
        <v>102882.93928196174</v>
      </c>
    </row>
    <row r="98" spans="12:13" x14ac:dyDescent="0.3">
      <c r="L98">
        <v>86</v>
      </c>
      <c r="M98" s="13">
        <v>157688.91574668829</v>
      </c>
    </row>
    <row r="99" spans="12:13" x14ac:dyDescent="0.3">
      <c r="L99">
        <v>87</v>
      </c>
      <c r="M99" s="13">
        <v>171055.05710904035</v>
      </c>
    </row>
    <row r="100" spans="12:13" x14ac:dyDescent="0.3">
      <c r="L100">
        <v>88</v>
      </c>
      <c r="M100" s="13">
        <v>188971.11711801653</v>
      </c>
    </row>
    <row r="101" spans="12:13" x14ac:dyDescent="0.3">
      <c r="L101">
        <v>89</v>
      </c>
      <c r="M101" s="13">
        <v>164492.0789118988</v>
      </c>
    </row>
    <row r="102" spans="12:13" x14ac:dyDescent="0.3">
      <c r="L102">
        <v>90</v>
      </c>
      <c r="M102" s="13">
        <v>86938.007704146759</v>
      </c>
    </row>
    <row r="103" spans="12:13" x14ac:dyDescent="0.3">
      <c r="L103">
        <v>91</v>
      </c>
      <c r="M103" s="13">
        <v>89299.990737645741</v>
      </c>
    </row>
    <row r="104" spans="12:13" x14ac:dyDescent="0.3">
      <c r="L104">
        <v>92</v>
      </c>
      <c r="M104" s="13">
        <v>183577.58239369729</v>
      </c>
    </row>
    <row r="105" spans="12:13" x14ac:dyDescent="0.3">
      <c r="L105">
        <v>93</v>
      </c>
      <c r="M105" s="13">
        <v>138329.89688706506</v>
      </c>
    </row>
    <row r="106" spans="12:13" x14ac:dyDescent="0.3">
      <c r="L106">
        <v>94</v>
      </c>
      <c r="M106" s="13">
        <v>122209.61181508395</v>
      </c>
    </row>
    <row r="107" spans="12:13" x14ac:dyDescent="0.3">
      <c r="L107">
        <v>95</v>
      </c>
      <c r="M107" s="13">
        <v>88955.628035877831</v>
      </c>
    </row>
    <row r="108" spans="12:13" x14ac:dyDescent="0.3">
      <c r="L108">
        <v>96</v>
      </c>
      <c r="M108" s="13">
        <v>173174.90126263464</v>
      </c>
    </row>
    <row r="109" spans="12:13" x14ac:dyDescent="0.3">
      <c r="L109">
        <v>97</v>
      </c>
      <c r="M109" s="13">
        <v>116394.08385803428</v>
      </c>
    </row>
    <row r="110" spans="12:13" x14ac:dyDescent="0.3">
      <c r="L110">
        <v>98</v>
      </c>
      <c r="M110" s="13">
        <v>51690.343396992059</v>
      </c>
    </row>
    <row r="111" spans="12:13" x14ac:dyDescent="0.3">
      <c r="L111">
        <v>99</v>
      </c>
      <c r="M111" s="13">
        <v>218833.35182229109</v>
      </c>
    </row>
    <row r="112" spans="12:13" x14ac:dyDescent="0.3">
      <c r="L112">
        <v>100</v>
      </c>
      <c r="M112" s="13">
        <v>157442.36332952406</v>
      </c>
    </row>
    <row r="113" spans="12:13" x14ac:dyDescent="0.3">
      <c r="L113">
        <v>101</v>
      </c>
      <c r="M113" s="13">
        <v>156976.3704216792</v>
      </c>
    </row>
    <row r="114" spans="12:13" x14ac:dyDescent="0.3">
      <c r="L114">
        <v>102</v>
      </c>
      <c r="M114" s="13">
        <v>126293.38991265331</v>
      </c>
    </row>
    <row r="115" spans="12:13" x14ac:dyDescent="0.3">
      <c r="L115">
        <v>103</v>
      </c>
      <c r="M115" s="13">
        <v>125120.51955568342</v>
      </c>
    </row>
    <row r="116" spans="12:13" x14ac:dyDescent="0.3">
      <c r="L116">
        <v>104</v>
      </c>
      <c r="M116" s="13">
        <v>66859.441455825174</v>
      </c>
    </row>
    <row r="117" spans="12:13" x14ac:dyDescent="0.3">
      <c r="L117">
        <v>105</v>
      </c>
      <c r="M117" s="13">
        <v>85598.150243315467</v>
      </c>
    </row>
    <row r="118" spans="12:13" x14ac:dyDescent="0.3">
      <c r="L118">
        <v>106</v>
      </c>
      <c r="M118" s="13">
        <v>123221.14410029651</v>
      </c>
    </row>
    <row r="119" spans="12:13" x14ac:dyDescent="0.3">
      <c r="L119">
        <v>107</v>
      </c>
      <c r="M119" s="13">
        <v>102085.25285541828</v>
      </c>
    </row>
    <row r="120" spans="12:13" x14ac:dyDescent="0.3">
      <c r="L120">
        <v>108</v>
      </c>
      <c r="M120" s="13">
        <v>96975.590993595659</v>
      </c>
    </row>
    <row r="121" spans="12:13" x14ac:dyDescent="0.3">
      <c r="L121">
        <v>109</v>
      </c>
      <c r="M121" s="13">
        <v>147719.44701863377</v>
      </c>
    </row>
    <row r="122" spans="12:13" x14ac:dyDescent="0.3">
      <c r="L122">
        <v>110</v>
      </c>
      <c r="M122" s="13">
        <v>132690.29461974942</v>
      </c>
    </row>
    <row r="123" spans="12:13" x14ac:dyDescent="0.3">
      <c r="L123">
        <v>111</v>
      </c>
      <c r="M123" s="13">
        <v>101521.82320631348</v>
      </c>
    </row>
    <row r="124" spans="12:13" x14ac:dyDescent="0.3">
      <c r="L124">
        <v>112</v>
      </c>
      <c r="M124" s="13">
        <v>113329.35885299268</v>
      </c>
    </row>
    <row r="125" spans="12:13" x14ac:dyDescent="0.3">
      <c r="L125">
        <v>113</v>
      </c>
      <c r="M125" s="13">
        <v>146460.80163799674</v>
      </c>
    </row>
    <row r="126" spans="12:13" x14ac:dyDescent="0.3">
      <c r="L126">
        <v>114</v>
      </c>
      <c r="M126" s="13">
        <v>130257.1770874442</v>
      </c>
    </row>
    <row r="127" spans="12:13" x14ac:dyDescent="0.3">
      <c r="L127">
        <v>115</v>
      </c>
      <c r="M127" s="13">
        <v>144845.26013431288</v>
      </c>
    </row>
    <row r="128" spans="12:13" x14ac:dyDescent="0.3">
      <c r="L128">
        <v>116</v>
      </c>
      <c r="M128" s="13">
        <v>103002.2512895228</v>
      </c>
    </row>
    <row r="129" spans="12:13" x14ac:dyDescent="0.3">
      <c r="L129">
        <v>117</v>
      </c>
      <c r="M129" s="13">
        <v>136946.90693659743</v>
      </c>
    </row>
    <row r="130" spans="12:13" x14ac:dyDescent="0.3">
      <c r="L130">
        <v>118</v>
      </c>
      <c r="M130" s="13">
        <v>102069.67185394192</v>
      </c>
    </row>
    <row r="131" spans="12:13" x14ac:dyDescent="0.3">
      <c r="L131">
        <v>119</v>
      </c>
      <c r="M131" s="13">
        <v>146629.48858053074</v>
      </c>
    </row>
    <row r="132" spans="12:13" x14ac:dyDescent="0.3">
      <c r="L132">
        <v>120</v>
      </c>
      <c r="M132" s="13">
        <v>123662.34700136067</v>
      </c>
    </row>
    <row r="133" spans="12:13" x14ac:dyDescent="0.3">
      <c r="L133">
        <v>121</v>
      </c>
      <c r="M133" s="13">
        <v>40161.647308090876</v>
      </c>
    </row>
    <row r="134" spans="12:13" x14ac:dyDescent="0.3">
      <c r="L134">
        <v>122</v>
      </c>
      <c r="M134" s="13">
        <v>111148.96538028735</v>
      </c>
    </row>
    <row r="135" spans="12:13" x14ac:dyDescent="0.3">
      <c r="L135">
        <v>123</v>
      </c>
      <c r="M135" s="13">
        <v>156784.88120052146</v>
      </c>
    </row>
    <row r="136" spans="12:13" x14ac:dyDescent="0.3">
      <c r="L136">
        <v>124</v>
      </c>
      <c r="M136" s="13">
        <v>74900.765902799874</v>
      </c>
    </row>
    <row r="137" spans="12:13" x14ac:dyDescent="0.3">
      <c r="L137">
        <v>125</v>
      </c>
      <c r="M137" s="13">
        <v>141542.3994598639</v>
      </c>
    </row>
    <row r="138" spans="12:13" x14ac:dyDescent="0.3">
      <c r="L138">
        <v>126</v>
      </c>
      <c r="M138" s="13">
        <v>121472.52810670354</v>
      </c>
    </row>
    <row r="139" spans="12:13" x14ac:dyDescent="0.3">
      <c r="L139">
        <v>127</v>
      </c>
      <c r="M139" s="13">
        <v>60990.451133686671</v>
      </c>
    </row>
    <row r="140" spans="12:13" x14ac:dyDescent="0.3">
      <c r="L140">
        <v>128</v>
      </c>
      <c r="M140" s="13">
        <v>155122.75199743232</v>
      </c>
    </row>
    <row r="141" spans="12:13" x14ac:dyDescent="0.3">
      <c r="L141">
        <v>129</v>
      </c>
      <c r="M141" s="13">
        <v>123971.36671103636</v>
      </c>
    </row>
    <row r="142" spans="12:13" x14ac:dyDescent="0.3">
      <c r="L142">
        <v>130</v>
      </c>
      <c r="M142" s="13">
        <v>61964.75605732065</v>
      </c>
    </row>
    <row r="143" spans="12:13" x14ac:dyDescent="0.3">
      <c r="L143">
        <v>131</v>
      </c>
      <c r="M143" s="13">
        <v>102672.26244049886</v>
      </c>
    </row>
    <row r="144" spans="12:13" x14ac:dyDescent="0.3">
      <c r="L144">
        <v>132</v>
      </c>
      <c r="M144" s="13">
        <v>77640.490565640212</v>
      </c>
    </row>
    <row r="145" spans="12:13" x14ac:dyDescent="0.3">
      <c r="L145">
        <v>133</v>
      </c>
      <c r="M145" s="13">
        <v>53774.940788058411</v>
      </c>
    </row>
    <row r="146" spans="12:13" x14ac:dyDescent="0.3">
      <c r="L146">
        <v>134</v>
      </c>
      <c r="M146" s="13">
        <v>92071.482878469687</v>
      </c>
    </row>
    <row r="147" spans="12:13" x14ac:dyDescent="0.3">
      <c r="L147">
        <v>135</v>
      </c>
      <c r="M147" s="13">
        <v>91096.078037982807</v>
      </c>
    </row>
    <row r="148" spans="12:13" x14ac:dyDescent="0.3">
      <c r="L148">
        <v>136</v>
      </c>
      <c r="M148" s="13">
        <v>76018.882712895123</v>
      </c>
    </row>
    <row r="149" spans="12:13" x14ac:dyDescent="0.3">
      <c r="L149">
        <v>137</v>
      </c>
      <c r="M149" s="13">
        <v>161829.55179915833</v>
      </c>
    </row>
    <row r="150" spans="12:13" x14ac:dyDescent="0.3">
      <c r="L150">
        <v>138</v>
      </c>
      <c r="M150" s="13">
        <v>158377.0044128889</v>
      </c>
    </row>
    <row r="151" spans="12:13" x14ac:dyDescent="0.3">
      <c r="L151">
        <v>139</v>
      </c>
      <c r="M151" s="13">
        <v>77866.167283418123</v>
      </c>
    </row>
    <row r="152" spans="12:13" x14ac:dyDescent="0.3">
      <c r="L152">
        <v>140</v>
      </c>
      <c r="M152" s="13">
        <v>119361.86370788279</v>
      </c>
    </row>
    <row r="153" spans="12:13" x14ac:dyDescent="0.3">
      <c r="L153">
        <v>141</v>
      </c>
      <c r="M153" s="13">
        <v>130562.49661130362</v>
      </c>
    </row>
    <row r="154" spans="12:13" x14ac:dyDescent="0.3">
      <c r="L154">
        <v>142</v>
      </c>
      <c r="M154" s="13">
        <v>108309.8517190885</v>
      </c>
    </row>
    <row r="155" spans="12:13" x14ac:dyDescent="0.3">
      <c r="L155">
        <v>143</v>
      </c>
      <c r="M155" s="13">
        <v>86233.499552011403</v>
      </c>
    </row>
    <row r="156" spans="12:13" x14ac:dyDescent="0.3">
      <c r="L156">
        <v>144</v>
      </c>
      <c r="M156" s="13">
        <v>177287.89544645304</v>
      </c>
    </row>
    <row r="157" spans="12:13" x14ac:dyDescent="0.3">
      <c r="L157">
        <v>145</v>
      </c>
      <c r="M157" s="13">
        <v>133771.8687128012</v>
      </c>
    </row>
    <row r="158" spans="12:13" x14ac:dyDescent="0.3">
      <c r="L158">
        <v>146</v>
      </c>
      <c r="M158" s="13">
        <v>62204.52211731713</v>
      </c>
    </row>
    <row r="159" spans="12:13" x14ac:dyDescent="0.3">
      <c r="L159">
        <v>147</v>
      </c>
      <c r="M159" s="13">
        <v>167228.6066615723</v>
      </c>
    </row>
    <row r="160" spans="12:13" x14ac:dyDescent="0.3">
      <c r="L160">
        <v>148</v>
      </c>
      <c r="M160" s="13">
        <v>128144.16028627477</v>
      </c>
    </row>
    <row r="161" spans="12:13" x14ac:dyDescent="0.3">
      <c r="L161">
        <v>149</v>
      </c>
      <c r="M161" s="13">
        <v>117483.97381690927</v>
      </c>
    </row>
    <row r="162" spans="12:13" x14ac:dyDescent="0.3">
      <c r="L162">
        <v>150</v>
      </c>
      <c r="M162" s="13">
        <v>155681.91468593839</v>
      </c>
    </row>
    <row r="163" spans="12:13" x14ac:dyDescent="0.3">
      <c r="L163">
        <v>151</v>
      </c>
      <c r="M163" s="13">
        <v>128836.79125372379</v>
      </c>
    </row>
    <row r="164" spans="12:13" x14ac:dyDescent="0.3">
      <c r="L164">
        <v>152</v>
      </c>
      <c r="M164" s="13">
        <v>146748.79370570273</v>
      </c>
    </row>
    <row r="165" spans="12:13" x14ac:dyDescent="0.3">
      <c r="L165">
        <v>153</v>
      </c>
      <c r="M165" s="13">
        <v>109980.96704013299</v>
      </c>
    </row>
    <row r="166" spans="12:13" x14ac:dyDescent="0.3">
      <c r="L166">
        <v>154</v>
      </c>
      <c r="M166" s="13">
        <v>168212.2622454862</v>
      </c>
    </row>
    <row r="167" spans="12:13" x14ac:dyDescent="0.3">
      <c r="L167">
        <v>155</v>
      </c>
      <c r="M167" s="13">
        <v>75863.697521552967</v>
      </c>
    </row>
    <row r="168" spans="12:13" x14ac:dyDescent="0.3">
      <c r="L168">
        <v>156</v>
      </c>
      <c r="M168" s="13">
        <v>117794.16345873341</v>
      </c>
    </row>
    <row r="169" spans="12:13" x14ac:dyDescent="0.3">
      <c r="L169">
        <v>157</v>
      </c>
      <c r="M169" s="13">
        <v>80043.28451149691</v>
      </c>
    </row>
    <row r="170" spans="12:13" x14ac:dyDescent="0.3">
      <c r="L170">
        <v>158</v>
      </c>
      <c r="M170" s="13">
        <v>156628.97533200393</v>
      </c>
    </row>
    <row r="171" spans="12:13" x14ac:dyDescent="0.3">
      <c r="L171">
        <v>159</v>
      </c>
      <c r="M171" s="13">
        <v>130110.76172827621</v>
      </c>
    </row>
    <row r="172" spans="12:13" x14ac:dyDescent="0.3">
      <c r="L172">
        <v>160</v>
      </c>
      <c r="M172" s="13">
        <v>76088.65714505178</v>
      </c>
    </row>
    <row r="173" spans="12:13" x14ac:dyDescent="0.3">
      <c r="L173">
        <v>161</v>
      </c>
      <c r="M173" s="13">
        <v>141960.72046888279</v>
      </c>
    </row>
    <row r="174" spans="12:13" x14ac:dyDescent="0.3">
      <c r="L174">
        <v>162</v>
      </c>
      <c r="M174" s="13">
        <v>184379.98059797185</v>
      </c>
    </row>
    <row r="175" spans="12:13" x14ac:dyDescent="0.3">
      <c r="L175">
        <v>163</v>
      </c>
      <c r="M175" s="13">
        <v>124963.99753636954</v>
      </c>
    </row>
    <row r="176" spans="12:13" x14ac:dyDescent="0.3">
      <c r="L176">
        <v>164</v>
      </c>
      <c r="M176" s="13">
        <v>102740.37114722538</v>
      </c>
    </row>
    <row r="177" spans="12:13" x14ac:dyDescent="0.3">
      <c r="L177">
        <v>165</v>
      </c>
      <c r="M177" s="13">
        <v>116340.3932990949</v>
      </c>
    </row>
    <row r="178" spans="12:13" x14ac:dyDescent="0.3">
      <c r="L178">
        <v>166</v>
      </c>
      <c r="M178" s="13">
        <v>122056.33689452053</v>
      </c>
    </row>
    <row r="179" spans="12:13" x14ac:dyDescent="0.3">
      <c r="L179">
        <v>167</v>
      </c>
      <c r="M179" s="13">
        <v>116216.36112669656</v>
      </c>
    </row>
    <row r="180" spans="12:13" x14ac:dyDescent="0.3">
      <c r="L180">
        <v>168</v>
      </c>
      <c r="M180" s="13">
        <v>178344.01270764251</v>
      </c>
    </row>
    <row r="181" spans="12:13" x14ac:dyDescent="0.3">
      <c r="L181">
        <v>169</v>
      </c>
      <c r="M181" s="13">
        <v>139610.16416750796</v>
      </c>
    </row>
    <row r="182" spans="12:13" x14ac:dyDescent="0.3">
      <c r="L182">
        <v>170</v>
      </c>
      <c r="M182" s="13">
        <v>150077.97600397686</v>
      </c>
    </row>
    <row r="183" spans="12:13" x14ac:dyDescent="0.3">
      <c r="L183">
        <v>171</v>
      </c>
      <c r="M183" s="13">
        <v>67125.552382134803</v>
      </c>
    </row>
    <row r="184" spans="12:13" x14ac:dyDescent="0.3">
      <c r="L184">
        <v>172</v>
      </c>
      <c r="M184" s="13">
        <v>98751.197486017321</v>
      </c>
    </row>
    <row r="185" spans="12:13" x14ac:dyDescent="0.3">
      <c r="L185">
        <v>173</v>
      </c>
      <c r="M185" s="13">
        <v>90499.651975011773</v>
      </c>
    </row>
    <row r="186" spans="12:13" x14ac:dyDescent="0.3">
      <c r="L186">
        <v>174</v>
      </c>
      <c r="M186" s="13">
        <v>104232.10828653911</v>
      </c>
    </row>
    <row r="187" spans="12:13" x14ac:dyDescent="0.3">
      <c r="L187">
        <v>175</v>
      </c>
      <c r="M187" s="13">
        <v>72405.324350356503</v>
      </c>
    </row>
    <row r="188" spans="12:13" x14ac:dyDescent="0.3">
      <c r="L188">
        <v>176</v>
      </c>
      <c r="M188" s="13">
        <v>95361.317235845985</v>
      </c>
    </row>
    <row r="189" spans="12:13" x14ac:dyDescent="0.3">
      <c r="L189">
        <v>177</v>
      </c>
      <c r="M189" s="13">
        <v>85997.020405969364</v>
      </c>
    </row>
    <row r="190" spans="12:13" x14ac:dyDescent="0.3">
      <c r="L190">
        <v>178</v>
      </c>
      <c r="M190" s="13">
        <v>84082.086750333459</v>
      </c>
    </row>
    <row r="191" spans="12:13" x14ac:dyDescent="0.3">
      <c r="L191">
        <v>179</v>
      </c>
      <c r="M191" s="13">
        <v>61108.563311391372</v>
      </c>
    </row>
    <row r="192" spans="12:13" x14ac:dyDescent="0.3">
      <c r="L192">
        <v>180</v>
      </c>
      <c r="M192" s="13">
        <v>160055.52812725562</v>
      </c>
    </row>
    <row r="193" spans="12:13" x14ac:dyDescent="0.3">
      <c r="L193">
        <v>181</v>
      </c>
      <c r="M193" s="13">
        <v>72514.924180927424</v>
      </c>
    </row>
    <row r="194" spans="12:13" x14ac:dyDescent="0.3">
      <c r="L194">
        <v>182</v>
      </c>
      <c r="M194" s="13">
        <v>123000.58498761631</v>
      </c>
    </row>
    <row r="195" spans="12:13" x14ac:dyDescent="0.3">
      <c r="L195">
        <v>183</v>
      </c>
      <c r="M195" s="13">
        <v>133679.33385739161</v>
      </c>
    </row>
    <row r="196" spans="12:13" x14ac:dyDescent="0.3">
      <c r="L196">
        <v>184</v>
      </c>
      <c r="M196" s="13">
        <v>37356.2547494748</v>
      </c>
    </row>
    <row r="197" spans="12:13" x14ac:dyDescent="0.3">
      <c r="L197">
        <v>185</v>
      </c>
      <c r="M197" s="13">
        <v>116536.10003598881</v>
      </c>
    </row>
    <row r="198" spans="12:13" x14ac:dyDescent="0.3">
      <c r="L198">
        <v>186</v>
      </c>
      <c r="M198" s="13">
        <v>133380.37530175853</v>
      </c>
    </row>
    <row r="199" spans="12:13" x14ac:dyDescent="0.3">
      <c r="L199">
        <v>187</v>
      </c>
      <c r="M199" s="13">
        <v>96455.295933382527</v>
      </c>
    </row>
    <row r="200" spans="12:13" x14ac:dyDescent="0.3">
      <c r="L200">
        <v>188</v>
      </c>
      <c r="M200" s="13">
        <v>105489.7760901787</v>
      </c>
    </row>
    <row r="201" spans="12:13" x14ac:dyDescent="0.3">
      <c r="L201">
        <v>189</v>
      </c>
      <c r="M201" s="13">
        <v>168709.64018337399</v>
      </c>
    </row>
    <row r="202" spans="12:13" x14ac:dyDescent="0.3">
      <c r="L202">
        <v>190</v>
      </c>
      <c r="M202" s="13">
        <v>89416.177901616174</v>
      </c>
    </row>
    <row r="203" spans="12:13" x14ac:dyDescent="0.3">
      <c r="L203">
        <v>191</v>
      </c>
      <c r="M203" s="13">
        <v>172257.46618750773</v>
      </c>
    </row>
    <row r="204" spans="12:13" x14ac:dyDescent="0.3">
      <c r="L204">
        <v>192</v>
      </c>
      <c r="M204" s="13">
        <v>118960.81851898333</v>
      </c>
    </row>
    <row r="205" spans="12:13" x14ac:dyDescent="0.3">
      <c r="L205">
        <v>193</v>
      </c>
      <c r="M205" s="13">
        <v>50771.512473774303</v>
      </c>
    </row>
    <row r="206" spans="12:13" x14ac:dyDescent="0.3">
      <c r="L206">
        <v>194</v>
      </c>
      <c r="M206" s="13">
        <v>114716.79750412726</v>
      </c>
    </row>
    <row r="207" spans="12:13" x14ac:dyDescent="0.3">
      <c r="L207">
        <v>195</v>
      </c>
      <c r="M207" s="13">
        <v>90572.485738931951</v>
      </c>
    </row>
    <row r="208" spans="12:13" x14ac:dyDescent="0.3">
      <c r="L208">
        <v>196</v>
      </c>
      <c r="M208" s="13">
        <v>84691.995715232231</v>
      </c>
    </row>
    <row r="209" spans="12:13" x14ac:dyDescent="0.3">
      <c r="L209">
        <v>197</v>
      </c>
      <c r="M209" s="13">
        <v>99596.814219708758</v>
      </c>
    </row>
    <row r="210" spans="12:13" x14ac:dyDescent="0.3">
      <c r="L210">
        <v>198</v>
      </c>
      <c r="M210" s="13">
        <v>146132.82705884308</v>
      </c>
    </row>
    <row r="211" spans="12:13" x14ac:dyDescent="0.3">
      <c r="L211">
        <v>199</v>
      </c>
      <c r="M211" s="13">
        <v>125722.47033106333</v>
      </c>
    </row>
    <row r="212" spans="12:13" x14ac:dyDescent="0.3">
      <c r="L212">
        <v>200</v>
      </c>
      <c r="M212" s="13">
        <v>98141.694727248891</v>
      </c>
    </row>
    <row r="213" spans="12:13" x14ac:dyDescent="0.3">
      <c r="L213">
        <v>201</v>
      </c>
      <c r="M213" s="13">
        <v>151657.1561784815</v>
      </c>
    </row>
    <row r="214" spans="12:13" x14ac:dyDescent="0.3">
      <c r="L214">
        <v>202</v>
      </c>
      <c r="M214" s="13">
        <v>135830.01836455197</v>
      </c>
    </row>
    <row r="215" spans="12:13" x14ac:dyDescent="0.3">
      <c r="L215">
        <v>203</v>
      </c>
      <c r="M215" s="13">
        <v>115704.63132520707</v>
      </c>
    </row>
    <row r="216" spans="12:13" x14ac:dyDescent="0.3">
      <c r="L216">
        <v>204</v>
      </c>
      <c r="M216" s="13">
        <v>130527.55160032609</v>
      </c>
    </row>
    <row r="217" spans="12:13" x14ac:dyDescent="0.3">
      <c r="L217">
        <v>205</v>
      </c>
      <c r="M217" s="13">
        <v>176065.21954416152</v>
      </c>
    </row>
    <row r="218" spans="12:13" x14ac:dyDescent="0.3">
      <c r="L218">
        <v>206</v>
      </c>
      <c r="M218" s="13">
        <v>166158.52684728178</v>
      </c>
    </row>
    <row r="219" spans="12:13" x14ac:dyDescent="0.3">
      <c r="L219">
        <v>207</v>
      </c>
      <c r="M219" s="13">
        <v>89825.945981498371</v>
      </c>
    </row>
    <row r="220" spans="12:13" x14ac:dyDescent="0.3">
      <c r="L220">
        <v>208</v>
      </c>
      <c r="M220" s="13">
        <v>142588.36748098902</v>
      </c>
    </row>
    <row r="221" spans="12:13" x14ac:dyDescent="0.3">
      <c r="L221">
        <v>209</v>
      </c>
      <c r="M221" s="13">
        <v>125472.43932760341</v>
      </c>
    </row>
    <row r="222" spans="12:13" x14ac:dyDescent="0.3">
      <c r="L222">
        <v>210</v>
      </c>
      <c r="M222" s="13">
        <v>100244.53091129361</v>
      </c>
    </row>
    <row r="223" spans="12:13" x14ac:dyDescent="0.3">
      <c r="L223">
        <v>211</v>
      </c>
      <c r="M223" s="13">
        <v>89606.716295961844</v>
      </c>
    </row>
    <row r="224" spans="12:13" x14ac:dyDescent="0.3">
      <c r="L224">
        <v>212</v>
      </c>
      <c r="M224" s="13">
        <v>126803.21858176769</v>
      </c>
    </row>
    <row r="225" spans="12:13" x14ac:dyDescent="0.3">
      <c r="L225">
        <v>213</v>
      </c>
      <c r="M225" s="13">
        <v>140804.90437788688</v>
      </c>
    </row>
    <row r="226" spans="12:13" x14ac:dyDescent="0.3">
      <c r="L226">
        <v>214</v>
      </c>
      <c r="M226" s="13">
        <v>123158.56831949859</v>
      </c>
    </row>
    <row r="227" spans="12:13" x14ac:dyDescent="0.3">
      <c r="L227">
        <v>215</v>
      </c>
      <c r="M227" s="13">
        <v>82322.167061911256</v>
      </c>
    </row>
    <row r="228" spans="12:13" x14ac:dyDescent="0.3">
      <c r="L228">
        <v>216</v>
      </c>
      <c r="M228" s="13">
        <v>208865.26200499479</v>
      </c>
    </row>
    <row r="229" spans="12:13" x14ac:dyDescent="0.3">
      <c r="L229">
        <v>217</v>
      </c>
      <c r="M229" s="13">
        <v>169228.40342371879</v>
      </c>
    </row>
    <row r="230" spans="12:13" x14ac:dyDescent="0.3">
      <c r="L230">
        <v>218</v>
      </c>
      <c r="M230" s="13">
        <v>128600.5048400978</v>
      </c>
    </row>
    <row r="231" spans="12:13" x14ac:dyDescent="0.3">
      <c r="L231">
        <v>219</v>
      </c>
      <c r="M231" s="13">
        <v>107366.3769688782</v>
      </c>
    </row>
    <row r="232" spans="12:13" x14ac:dyDescent="0.3">
      <c r="L232">
        <v>220</v>
      </c>
      <c r="M232" s="13">
        <v>113183.36179891956</v>
      </c>
    </row>
    <row r="233" spans="12:13" x14ac:dyDescent="0.3">
      <c r="L233">
        <v>221</v>
      </c>
      <c r="M233" s="13">
        <v>87354.15215915165</v>
      </c>
    </row>
    <row r="234" spans="12:13" x14ac:dyDescent="0.3">
      <c r="L234">
        <v>222</v>
      </c>
      <c r="M234" s="13">
        <v>180253.62427811476</v>
      </c>
    </row>
    <row r="235" spans="12:13" x14ac:dyDescent="0.3">
      <c r="L235">
        <v>223</v>
      </c>
      <c r="M235" s="13">
        <v>113815.63620326336</v>
      </c>
    </row>
    <row r="236" spans="12:13" x14ac:dyDescent="0.3">
      <c r="L236">
        <v>224</v>
      </c>
      <c r="M236" s="13">
        <v>84142.878760426887</v>
      </c>
    </row>
    <row r="237" spans="12:13" x14ac:dyDescent="0.3">
      <c r="L237">
        <v>225</v>
      </c>
      <c r="M237" s="13">
        <v>75373.720614966151</v>
      </c>
    </row>
    <row r="238" spans="12:13" x14ac:dyDescent="0.3">
      <c r="L238">
        <v>226</v>
      </c>
      <c r="M238" s="13">
        <v>78857.14800865532</v>
      </c>
    </row>
    <row r="239" spans="12:13" x14ac:dyDescent="0.3">
      <c r="L239">
        <v>227</v>
      </c>
      <c r="M239" s="13">
        <v>159955.02997724141</v>
      </c>
    </row>
    <row r="240" spans="12:13" x14ac:dyDescent="0.3">
      <c r="L240">
        <v>228</v>
      </c>
      <c r="M240" s="13">
        <v>98590.840266727784</v>
      </c>
    </row>
    <row r="241" spans="12:13" x14ac:dyDescent="0.3">
      <c r="L241">
        <v>229</v>
      </c>
      <c r="M241" s="13">
        <v>102345.1971569396</v>
      </c>
    </row>
    <row r="242" spans="12:13" x14ac:dyDescent="0.3">
      <c r="L242">
        <v>230</v>
      </c>
      <c r="M242" s="13">
        <v>99596.389118952662</v>
      </c>
    </row>
    <row r="243" spans="12:13" x14ac:dyDescent="0.3">
      <c r="L243">
        <v>231</v>
      </c>
      <c r="M243" s="13">
        <v>149430.90197615323</v>
      </c>
    </row>
    <row r="244" spans="12:13" x14ac:dyDescent="0.3">
      <c r="L244">
        <v>232</v>
      </c>
      <c r="M244" s="13">
        <v>82397.232820961188</v>
      </c>
    </row>
    <row r="245" spans="12:13" x14ac:dyDescent="0.3">
      <c r="L245">
        <v>233</v>
      </c>
      <c r="M245" s="13">
        <v>166262.23584171454</v>
      </c>
    </row>
    <row r="246" spans="12:13" x14ac:dyDescent="0.3">
      <c r="L246">
        <v>234</v>
      </c>
      <c r="M246" s="13">
        <v>75035.775209951535</v>
      </c>
    </row>
    <row r="247" spans="12:13" x14ac:dyDescent="0.3">
      <c r="L247">
        <v>235</v>
      </c>
      <c r="M247" s="13">
        <v>71165.217524177773</v>
      </c>
    </row>
    <row r="248" spans="12:13" x14ac:dyDescent="0.3">
      <c r="L248">
        <v>236</v>
      </c>
      <c r="M248" s="13">
        <v>85210.933590131666</v>
      </c>
    </row>
    <row r="249" spans="12:13" x14ac:dyDescent="0.3">
      <c r="L249">
        <v>237</v>
      </c>
      <c r="M249" s="13">
        <v>92971.260039099376</v>
      </c>
    </row>
    <row r="250" spans="12:13" x14ac:dyDescent="0.3">
      <c r="L250">
        <v>238</v>
      </c>
      <c r="M250" s="13">
        <v>183991.24037271668</v>
      </c>
    </row>
    <row r="251" spans="12:13" x14ac:dyDescent="0.3">
      <c r="L251">
        <v>239</v>
      </c>
      <c r="M251" s="13">
        <v>134739.94411510229</v>
      </c>
    </row>
    <row r="252" spans="12:13" x14ac:dyDescent="0.3">
      <c r="L252">
        <v>240</v>
      </c>
      <c r="M252" s="13">
        <v>59427.273157679694</v>
      </c>
    </row>
    <row r="253" spans="12:13" x14ac:dyDescent="0.3">
      <c r="L253">
        <v>241</v>
      </c>
      <c r="M253" s="13">
        <v>178082.80455955831</v>
      </c>
    </row>
    <row r="254" spans="12:13" x14ac:dyDescent="0.3">
      <c r="L254">
        <v>242</v>
      </c>
      <c r="M254" s="13">
        <v>104013.99549100266</v>
      </c>
    </row>
    <row r="255" spans="12:13" x14ac:dyDescent="0.3">
      <c r="L255">
        <v>243</v>
      </c>
      <c r="M255" s="13">
        <v>148683.84648854478</v>
      </c>
    </row>
    <row r="256" spans="12:13" x14ac:dyDescent="0.3">
      <c r="L256">
        <v>244</v>
      </c>
      <c r="M256" s="13">
        <v>71159.64195382272</v>
      </c>
    </row>
    <row r="257" spans="12:13" x14ac:dyDescent="0.3">
      <c r="L257">
        <v>245</v>
      </c>
      <c r="M257" s="13">
        <v>146500.70777207246</v>
      </c>
    </row>
    <row r="258" spans="12:13" x14ac:dyDescent="0.3">
      <c r="L258">
        <v>246</v>
      </c>
      <c r="M258" s="13">
        <v>95183.309937557176</v>
      </c>
    </row>
    <row r="259" spans="12:13" x14ac:dyDescent="0.3">
      <c r="L259">
        <v>247</v>
      </c>
      <c r="M259" s="13">
        <v>62905.552870771804</v>
      </c>
    </row>
    <row r="260" spans="12:13" x14ac:dyDescent="0.3">
      <c r="L260">
        <v>248</v>
      </c>
      <c r="M260" s="13">
        <v>108294.29403991048</v>
      </c>
    </row>
    <row r="261" spans="12:13" x14ac:dyDescent="0.3">
      <c r="L261">
        <v>249</v>
      </c>
      <c r="M261" s="13">
        <v>120884.90133301192</v>
      </c>
    </row>
    <row r="262" spans="12:13" x14ac:dyDescent="0.3">
      <c r="L262">
        <v>250</v>
      </c>
      <c r="M262" s="13">
        <v>78875.273516314861</v>
      </c>
    </row>
    <row r="263" spans="12:13" x14ac:dyDescent="0.3">
      <c r="L263">
        <v>251</v>
      </c>
      <c r="M263" s="13">
        <v>132488.39500113943</v>
      </c>
    </row>
    <row r="264" spans="12:13" x14ac:dyDescent="0.3">
      <c r="L264">
        <v>252</v>
      </c>
      <c r="M264" s="13">
        <v>151062.23044037531</v>
      </c>
    </row>
    <row r="265" spans="12:13" x14ac:dyDescent="0.3">
      <c r="L265">
        <v>253</v>
      </c>
      <c r="M265" s="13">
        <v>82368.334049829471</v>
      </c>
    </row>
    <row r="266" spans="12:13" x14ac:dyDescent="0.3">
      <c r="L266">
        <v>254</v>
      </c>
      <c r="M266" s="13">
        <v>73545.692055475607</v>
      </c>
    </row>
    <row r="267" spans="12:13" x14ac:dyDescent="0.3">
      <c r="L267">
        <v>255</v>
      </c>
      <c r="M267" s="13">
        <v>135963.80560291934</v>
      </c>
    </row>
    <row r="268" spans="12:13" x14ac:dyDescent="0.3">
      <c r="L268">
        <v>256</v>
      </c>
      <c r="M268" s="13">
        <v>81547.846577668271</v>
      </c>
    </row>
    <row r="269" spans="12:13" x14ac:dyDescent="0.3">
      <c r="L269">
        <v>257</v>
      </c>
      <c r="M269" s="13">
        <v>91579.272323245226</v>
      </c>
    </row>
    <row r="270" spans="12:13" x14ac:dyDescent="0.3">
      <c r="L270">
        <v>258</v>
      </c>
      <c r="M270" s="13">
        <v>67699.643742181157</v>
      </c>
    </row>
    <row r="271" spans="12:13" x14ac:dyDescent="0.3">
      <c r="L271">
        <v>259</v>
      </c>
      <c r="M271" s="13">
        <v>75009.301933450508</v>
      </c>
    </row>
    <row r="272" spans="12:13" x14ac:dyDescent="0.3">
      <c r="L272">
        <v>260</v>
      </c>
      <c r="M272" s="13">
        <v>158834.06860122888</v>
      </c>
    </row>
    <row r="273" spans="12:13" x14ac:dyDescent="0.3">
      <c r="L273">
        <v>261</v>
      </c>
      <c r="M273" s="13">
        <v>84166.199964746978</v>
      </c>
    </row>
    <row r="274" spans="12:13" x14ac:dyDescent="0.3">
      <c r="L274">
        <v>262</v>
      </c>
      <c r="M274" s="13">
        <v>101177.79413350631</v>
      </c>
    </row>
    <row r="275" spans="12:13" x14ac:dyDescent="0.3">
      <c r="L275">
        <v>263</v>
      </c>
      <c r="M275" s="13">
        <v>92647.339828634897</v>
      </c>
    </row>
    <row r="276" spans="12:13" x14ac:dyDescent="0.3">
      <c r="L276">
        <v>264</v>
      </c>
      <c r="M276" s="13">
        <v>146731.03703611149</v>
      </c>
    </row>
    <row r="277" spans="12:13" x14ac:dyDescent="0.3">
      <c r="L277">
        <v>265</v>
      </c>
      <c r="M277" s="13">
        <v>103778.07055145592</v>
      </c>
    </row>
    <row r="278" spans="12:13" x14ac:dyDescent="0.3">
      <c r="L278">
        <v>266</v>
      </c>
      <c r="M278" s="13">
        <v>90892.888247805648</v>
      </c>
    </row>
    <row r="279" spans="12:13" x14ac:dyDescent="0.3">
      <c r="L279">
        <v>267</v>
      </c>
      <c r="M279" s="13">
        <v>173895.69415588453</v>
      </c>
    </row>
    <row r="280" spans="12:13" x14ac:dyDescent="0.3">
      <c r="L280">
        <v>268</v>
      </c>
      <c r="M280" s="13">
        <v>83466.758647202107</v>
      </c>
    </row>
    <row r="281" spans="12:13" x14ac:dyDescent="0.3">
      <c r="L281">
        <v>269</v>
      </c>
      <c r="M281" s="13">
        <v>122464.55334032429</v>
      </c>
    </row>
    <row r="282" spans="12:13" x14ac:dyDescent="0.3">
      <c r="L282">
        <v>270</v>
      </c>
      <c r="M282" s="13">
        <v>120321.4052616001</v>
      </c>
    </row>
    <row r="283" spans="12:13" x14ac:dyDescent="0.3">
      <c r="L283">
        <v>271</v>
      </c>
      <c r="M283" s="13">
        <v>160627.16762860151</v>
      </c>
    </row>
    <row r="284" spans="12:13" x14ac:dyDescent="0.3">
      <c r="L284">
        <v>272</v>
      </c>
      <c r="M284" s="13">
        <v>113224.06719102191</v>
      </c>
    </row>
    <row r="285" spans="12:13" x14ac:dyDescent="0.3">
      <c r="L285">
        <v>273</v>
      </c>
      <c r="M285" s="13">
        <v>103115.49520531205</v>
      </c>
    </row>
    <row r="286" spans="12:13" x14ac:dyDescent="0.3">
      <c r="L286">
        <v>274</v>
      </c>
      <c r="M286" s="13">
        <v>70310.970587915712</v>
      </c>
    </row>
    <row r="287" spans="12:13" x14ac:dyDescent="0.3">
      <c r="L287">
        <v>275</v>
      </c>
      <c r="M287" s="13">
        <v>173200.51876923029</v>
      </c>
    </row>
    <row r="288" spans="12:13" x14ac:dyDescent="0.3">
      <c r="L288">
        <v>276</v>
      </c>
      <c r="M288" s="13">
        <v>173347.65869317681</v>
      </c>
    </row>
    <row r="289" spans="12:13" x14ac:dyDescent="0.3">
      <c r="L289">
        <v>277</v>
      </c>
      <c r="M289" s="13">
        <v>153414.51127449251</v>
      </c>
    </row>
    <row r="290" spans="12:13" x14ac:dyDescent="0.3">
      <c r="L290">
        <v>278</v>
      </c>
      <c r="M290" s="13">
        <v>97933.270232271141</v>
      </c>
    </row>
    <row r="291" spans="12:13" x14ac:dyDescent="0.3">
      <c r="L291">
        <v>279</v>
      </c>
      <c r="M291" s="13">
        <v>212724.3792926899</v>
      </c>
    </row>
    <row r="292" spans="12:13" x14ac:dyDescent="0.3">
      <c r="L292">
        <v>280</v>
      </c>
      <c r="M292" s="13">
        <v>131635.71336096109</v>
      </c>
    </row>
    <row r="293" spans="12:13" x14ac:dyDescent="0.3">
      <c r="L293">
        <v>281</v>
      </c>
      <c r="M293" s="13">
        <v>131509.32099273425</v>
      </c>
    </row>
    <row r="294" spans="12:13" x14ac:dyDescent="0.3">
      <c r="L294">
        <v>282</v>
      </c>
      <c r="M294" s="13">
        <v>119618.98552567515</v>
      </c>
    </row>
    <row r="295" spans="12:13" x14ac:dyDescent="0.3">
      <c r="L295">
        <v>283</v>
      </c>
      <c r="M295" s="13">
        <v>138212.28783912814</v>
      </c>
    </row>
    <row r="296" spans="12:13" x14ac:dyDescent="0.3">
      <c r="L296">
        <v>284</v>
      </c>
      <c r="M296" s="13">
        <v>97335.204391483363</v>
      </c>
    </row>
    <row r="297" spans="12:13" x14ac:dyDescent="0.3">
      <c r="L297">
        <v>285</v>
      </c>
      <c r="M297" s="13">
        <v>112852.41587108339</v>
      </c>
    </row>
    <row r="298" spans="12:13" x14ac:dyDescent="0.3">
      <c r="L298">
        <v>286</v>
      </c>
      <c r="M298" s="13">
        <v>106927.27405954042</v>
      </c>
    </row>
    <row r="299" spans="12:13" x14ac:dyDescent="0.3">
      <c r="L299">
        <v>287</v>
      </c>
      <c r="M299" s="13">
        <v>100499.581803337</v>
      </c>
    </row>
    <row r="300" spans="12:13" x14ac:dyDescent="0.3">
      <c r="L300">
        <v>288</v>
      </c>
      <c r="M300" s="13">
        <v>64621.561555297303</v>
      </c>
    </row>
    <row r="301" spans="12:13" x14ac:dyDescent="0.3">
      <c r="L301">
        <v>289</v>
      </c>
      <c r="M301" s="13">
        <v>40425.666636572561</v>
      </c>
    </row>
    <row r="302" spans="12:13" x14ac:dyDescent="0.3">
      <c r="L302">
        <v>290</v>
      </c>
      <c r="M302" s="13">
        <v>159029.77543142391</v>
      </c>
    </row>
    <row r="303" spans="12:13" x14ac:dyDescent="0.3">
      <c r="L303">
        <v>291</v>
      </c>
      <c r="M303" s="13">
        <v>108962.25970936727</v>
      </c>
    </row>
    <row r="304" spans="12:13" x14ac:dyDescent="0.3">
      <c r="L304">
        <v>292</v>
      </c>
      <c r="M304" s="13">
        <v>108985.12039745375</v>
      </c>
    </row>
    <row r="305" spans="12:13" x14ac:dyDescent="0.3">
      <c r="L305">
        <v>293</v>
      </c>
      <c r="M305" s="13">
        <v>152619.34442635818</v>
      </c>
    </row>
    <row r="306" spans="12:13" x14ac:dyDescent="0.3">
      <c r="L306">
        <v>294</v>
      </c>
      <c r="M306" s="13">
        <v>106744.44529680809</v>
      </c>
    </row>
    <row r="307" spans="12:13" x14ac:dyDescent="0.3">
      <c r="L307">
        <v>295</v>
      </c>
      <c r="M307" s="13">
        <v>190912.16027515635</v>
      </c>
    </row>
    <row r="308" spans="12:13" x14ac:dyDescent="0.3">
      <c r="L308">
        <v>296</v>
      </c>
      <c r="M308" s="13">
        <v>170271.81095220198</v>
      </c>
    </row>
    <row r="309" spans="12:13" x14ac:dyDescent="0.3">
      <c r="L309">
        <v>297</v>
      </c>
      <c r="M309" s="13">
        <v>100157.42101234921</v>
      </c>
    </row>
    <row r="310" spans="12:13" x14ac:dyDescent="0.3">
      <c r="L310">
        <v>298</v>
      </c>
      <c r="M310" s="13">
        <v>114401.75385641248</v>
      </c>
    </row>
    <row r="311" spans="12:13" x14ac:dyDescent="0.3">
      <c r="L311">
        <v>299</v>
      </c>
      <c r="M311" s="13">
        <v>115727.11088577157</v>
      </c>
    </row>
    <row r="312" spans="12:13" x14ac:dyDescent="0.3">
      <c r="L312">
        <v>300</v>
      </c>
      <c r="M312" s="13">
        <v>133577.67554527472</v>
      </c>
    </row>
    <row r="313" spans="12:13" x14ac:dyDescent="0.3">
      <c r="L313">
        <v>301</v>
      </c>
      <c r="M313" s="13">
        <v>50326.482220628983</v>
      </c>
    </row>
    <row r="314" spans="12:13" x14ac:dyDescent="0.3">
      <c r="L314">
        <v>302</v>
      </c>
      <c r="M314" s="13">
        <v>157707.71907557329</v>
      </c>
    </row>
    <row r="315" spans="12:13" x14ac:dyDescent="0.3">
      <c r="L315">
        <v>303</v>
      </c>
      <c r="M315" s="13">
        <v>63728.977767529905</v>
      </c>
    </row>
    <row r="316" spans="12:13" x14ac:dyDescent="0.3">
      <c r="L316">
        <v>304</v>
      </c>
      <c r="M316" s="13">
        <v>137796.43768924943</v>
      </c>
    </row>
    <row r="317" spans="12:13" x14ac:dyDescent="0.3">
      <c r="L317">
        <v>305</v>
      </c>
      <c r="M317" s="13">
        <v>142957.71692359404</v>
      </c>
    </row>
    <row r="318" spans="12:13" x14ac:dyDescent="0.3">
      <c r="L318">
        <v>306</v>
      </c>
      <c r="M318" s="13">
        <v>187732.74322484763</v>
      </c>
    </row>
    <row r="319" spans="12:13" x14ac:dyDescent="0.3">
      <c r="L319">
        <v>307</v>
      </c>
      <c r="M319" s="13">
        <v>138976.41139620106</v>
      </c>
    </row>
    <row r="320" spans="12:13" x14ac:dyDescent="0.3">
      <c r="L320">
        <v>308</v>
      </c>
      <c r="M320" s="13">
        <v>87099.527979668754</v>
      </c>
    </row>
    <row r="321" spans="12:13" x14ac:dyDescent="0.3">
      <c r="L321">
        <v>309</v>
      </c>
      <c r="M321" s="13">
        <v>123865.3130646658</v>
      </c>
    </row>
    <row r="322" spans="12:13" x14ac:dyDescent="0.3">
      <c r="L322">
        <v>310</v>
      </c>
      <c r="M322" s="13">
        <v>76348.030478881061</v>
      </c>
    </row>
    <row r="323" spans="12:13" x14ac:dyDescent="0.3">
      <c r="L323">
        <v>311</v>
      </c>
      <c r="M323" s="13">
        <v>109707.70611250584</v>
      </c>
    </row>
    <row r="324" spans="12:13" x14ac:dyDescent="0.3">
      <c r="L324">
        <v>312</v>
      </c>
      <c r="M324" s="13">
        <v>140180.75467316824</v>
      </c>
    </row>
    <row r="325" spans="12:13" x14ac:dyDescent="0.3">
      <c r="L325">
        <v>313</v>
      </c>
      <c r="M325" s="13">
        <v>114249.11808904712</v>
      </c>
    </row>
    <row r="326" spans="12:13" x14ac:dyDescent="0.3">
      <c r="L326">
        <v>314</v>
      </c>
      <c r="M326" s="13">
        <v>87272.914524359425</v>
      </c>
    </row>
    <row r="327" spans="12:13" x14ac:dyDescent="0.3">
      <c r="L327">
        <v>315</v>
      </c>
      <c r="M327" s="13">
        <v>74748.189939020871</v>
      </c>
    </row>
    <row r="328" spans="12:13" x14ac:dyDescent="0.3">
      <c r="L328">
        <v>316</v>
      </c>
      <c r="M328" s="13">
        <v>72250.162894966299</v>
      </c>
    </row>
    <row r="329" spans="12:13" x14ac:dyDescent="0.3">
      <c r="L329">
        <v>317</v>
      </c>
      <c r="M329" s="13">
        <v>187761.16172694974</v>
      </c>
    </row>
    <row r="330" spans="12:13" x14ac:dyDescent="0.3">
      <c r="L330">
        <v>318</v>
      </c>
      <c r="M330" s="13">
        <v>136966.67529526222</v>
      </c>
    </row>
    <row r="331" spans="12:13" x14ac:dyDescent="0.3">
      <c r="L331">
        <v>319</v>
      </c>
      <c r="M331" s="13">
        <v>137224.75546194834</v>
      </c>
    </row>
    <row r="332" spans="12:13" x14ac:dyDescent="0.3">
      <c r="L332">
        <v>320</v>
      </c>
      <c r="M332" s="13">
        <v>51772.612635496538</v>
      </c>
    </row>
    <row r="333" spans="12:13" x14ac:dyDescent="0.3">
      <c r="L333">
        <v>321</v>
      </c>
      <c r="M333" s="13">
        <v>108675.65695533901</v>
      </c>
    </row>
    <row r="334" spans="12:13" x14ac:dyDescent="0.3">
      <c r="L334">
        <v>322</v>
      </c>
      <c r="M334" s="13">
        <v>102082.97801094863</v>
      </c>
    </row>
    <row r="335" spans="12:13" x14ac:dyDescent="0.3">
      <c r="L335">
        <v>323</v>
      </c>
      <c r="M335" s="13">
        <v>125315.49771368835</v>
      </c>
    </row>
    <row r="336" spans="12:13" x14ac:dyDescent="0.3">
      <c r="L336">
        <v>324</v>
      </c>
      <c r="M336" s="13">
        <v>116486.66179937922</v>
      </c>
    </row>
    <row r="337" spans="12:13" x14ac:dyDescent="0.3">
      <c r="L337">
        <v>325</v>
      </c>
      <c r="M337" s="13">
        <v>204086.344216856</v>
      </c>
    </row>
    <row r="338" spans="12:13" x14ac:dyDescent="0.3">
      <c r="L338">
        <v>326</v>
      </c>
      <c r="M338" s="13">
        <v>76367.194795511736</v>
      </c>
    </row>
    <row r="339" spans="12:13" x14ac:dyDescent="0.3">
      <c r="L339">
        <v>327</v>
      </c>
      <c r="M339" s="13">
        <v>79214.795514838974</v>
      </c>
    </row>
    <row r="340" spans="12:13" x14ac:dyDescent="0.3">
      <c r="L340">
        <v>328</v>
      </c>
      <c r="M340" s="13">
        <v>149885.67776926531</v>
      </c>
    </row>
    <row r="341" spans="12:13" x14ac:dyDescent="0.3">
      <c r="L341">
        <v>329</v>
      </c>
      <c r="M341" s="13">
        <v>135337.55526391379</v>
      </c>
    </row>
    <row r="342" spans="12:13" x14ac:dyDescent="0.3">
      <c r="L342">
        <v>330</v>
      </c>
      <c r="M342" s="13">
        <v>130112.50245464686</v>
      </c>
    </row>
    <row r="343" spans="12:13" x14ac:dyDescent="0.3">
      <c r="L343">
        <v>331</v>
      </c>
      <c r="M343" s="13">
        <v>120327.54409061818</v>
      </c>
    </row>
    <row r="344" spans="12:13" x14ac:dyDescent="0.3">
      <c r="L344">
        <v>332</v>
      </c>
      <c r="M344" s="13">
        <v>113685.93984990485</v>
      </c>
    </row>
    <row r="345" spans="12:13" x14ac:dyDescent="0.3">
      <c r="L345">
        <v>333</v>
      </c>
      <c r="M345" s="13">
        <v>79326.764443869935</v>
      </c>
    </row>
    <row r="346" spans="12:13" x14ac:dyDescent="0.3">
      <c r="L346">
        <v>334</v>
      </c>
      <c r="M346" s="13">
        <v>118744.75403567549</v>
      </c>
    </row>
    <row r="347" spans="12:13" x14ac:dyDescent="0.3">
      <c r="L347">
        <v>335</v>
      </c>
      <c r="M347" s="13">
        <v>116839.14634459453</v>
      </c>
    </row>
    <row r="348" spans="12:13" x14ac:dyDescent="0.3">
      <c r="L348">
        <v>336</v>
      </c>
      <c r="M348" s="13">
        <v>129229.83453628543</v>
      </c>
    </row>
    <row r="349" spans="12:13" x14ac:dyDescent="0.3">
      <c r="L349">
        <v>337</v>
      </c>
      <c r="M349" s="13">
        <v>66980.563796861155</v>
      </c>
    </row>
    <row r="350" spans="12:13" x14ac:dyDescent="0.3">
      <c r="L350">
        <v>338</v>
      </c>
      <c r="M350" s="13">
        <v>132631.13753709153</v>
      </c>
    </row>
    <row r="351" spans="12:13" x14ac:dyDescent="0.3">
      <c r="L351">
        <v>339</v>
      </c>
      <c r="M351" s="13">
        <v>98696.72372185596</v>
      </c>
    </row>
    <row r="352" spans="12:13" x14ac:dyDescent="0.3">
      <c r="L352">
        <v>340</v>
      </c>
      <c r="M352" s="13">
        <v>101715.92161176458</v>
      </c>
    </row>
    <row r="353" spans="12:13" x14ac:dyDescent="0.3">
      <c r="L353">
        <v>341</v>
      </c>
      <c r="M353" s="13">
        <v>181638.33424931666</v>
      </c>
    </row>
    <row r="354" spans="12:13" x14ac:dyDescent="0.3">
      <c r="L354">
        <v>342</v>
      </c>
      <c r="M354" s="13">
        <v>88237.460655167117</v>
      </c>
    </row>
    <row r="355" spans="12:13" x14ac:dyDescent="0.3">
      <c r="L355">
        <v>343</v>
      </c>
      <c r="M355" s="13">
        <v>136748.66862628845</v>
      </c>
    </row>
    <row r="356" spans="12:13" x14ac:dyDescent="0.3">
      <c r="L356">
        <v>344</v>
      </c>
      <c r="M356" s="13">
        <v>119099.43385706414</v>
      </c>
    </row>
    <row r="357" spans="12:13" x14ac:dyDescent="0.3">
      <c r="L357">
        <v>345</v>
      </c>
      <c r="M357" s="13">
        <v>82679.686374899553</v>
      </c>
    </row>
    <row r="358" spans="12:13" x14ac:dyDescent="0.3">
      <c r="L358">
        <v>346</v>
      </c>
      <c r="M358" s="13">
        <v>142247.55425411498</v>
      </c>
    </row>
    <row r="359" spans="12:13" x14ac:dyDescent="0.3">
      <c r="L359">
        <v>347</v>
      </c>
      <c r="M359" s="13">
        <v>135547.70113845688</v>
      </c>
    </row>
    <row r="360" spans="12:13" x14ac:dyDescent="0.3">
      <c r="L360">
        <v>348</v>
      </c>
      <c r="M360" s="13">
        <v>200095.41454104963</v>
      </c>
    </row>
    <row r="361" spans="12:13" x14ac:dyDescent="0.3">
      <c r="L361">
        <v>349</v>
      </c>
      <c r="M361" s="13">
        <v>72745.232684691524</v>
      </c>
    </row>
    <row r="362" spans="12:13" x14ac:dyDescent="0.3">
      <c r="L362">
        <v>350</v>
      </c>
      <c r="M362" s="13">
        <v>84757.330584612326</v>
      </c>
    </row>
    <row r="363" spans="12:13" x14ac:dyDescent="0.3">
      <c r="L363">
        <v>351</v>
      </c>
      <c r="M363" s="13">
        <v>103865.59872140992</v>
      </c>
    </row>
    <row r="364" spans="12:13" x14ac:dyDescent="0.3">
      <c r="L364">
        <v>352</v>
      </c>
      <c r="M364" s="13">
        <v>127961.68994922601</v>
      </c>
    </row>
    <row r="365" spans="12:13" x14ac:dyDescent="0.3">
      <c r="L365">
        <v>353</v>
      </c>
      <c r="M365" s="13">
        <v>161493.62016120265</v>
      </c>
    </row>
    <row r="366" spans="12:13" x14ac:dyDescent="0.3">
      <c r="L366">
        <v>354</v>
      </c>
      <c r="M366" s="13">
        <v>106593.78308330826</v>
      </c>
    </row>
    <row r="367" spans="12:13" x14ac:dyDescent="0.3">
      <c r="L367">
        <v>355</v>
      </c>
      <c r="M367" s="13">
        <v>97509.13984495023</v>
      </c>
    </row>
    <row r="368" spans="12:13" x14ac:dyDescent="0.3">
      <c r="L368">
        <v>356</v>
      </c>
      <c r="M368" s="13">
        <v>103080.41275183388</v>
      </c>
    </row>
    <row r="369" spans="12:13" x14ac:dyDescent="0.3">
      <c r="L369">
        <v>357</v>
      </c>
      <c r="M369" s="13">
        <v>76184.051430076652</v>
      </c>
    </row>
    <row r="370" spans="12:13" x14ac:dyDescent="0.3">
      <c r="L370">
        <v>358</v>
      </c>
      <c r="M370" s="13">
        <v>145225.31549803892</v>
      </c>
    </row>
    <row r="371" spans="12:13" x14ac:dyDescent="0.3">
      <c r="L371">
        <v>359</v>
      </c>
      <c r="M371" s="13">
        <v>123102.88417946969</v>
      </c>
    </row>
    <row r="372" spans="12:13" x14ac:dyDescent="0.3">
      <c r="L372">
        <v>360</v>
      </c>
      <c r="M372" s="13">
        <v>56597.412445329632</v>
      </c>
    </row>
    <row r="373" spans="12:13" x14ac:dyDescent="0.3">
      <c r="L373">
        <v>361</v>
      </c>
      <c r="M373" s="13">
        <v>80435.748125682439</v>
      </c>
    </row>
    <row r="374" spans="12:13" x14ac:dyDescent="0.3">
      <c r="L374">
        <v>362</v>
      </c>
      <c r="M374" s="13">
        <v>97209.866889715049</v>
      </c>
    </row>
    <row r="375" spans="12:13" x14ac:dyDescent="0.3">
      <c r="L375">
        <v>363</v>
      </c>
      <c r="M375" s="13">
        <v>141232.05249142469</v>
      </c>
    </row>
    <row r="376" spans="12:13" x14ac:dyDescent="0.3">
      <c r="L376">
        <v>364</v>
      </c>
      <c r="M376" s="13">
        <v>80399.195645770378</v>
      </c>
    </row>
    <row r="377" spans="12:13" x14ac:dyDescent="0.3">
      <c r="L377">
        <v>365</v>
      </c>
      <c r="M377" s="13">
        <v>130309.94654792745</v>
      </c>
    </row>
    <row r="378" spans="12:13" x14ac:dyDescent="0.3">
      <c r="L378">
        <v>366</v>
      </c>
      <c r="M378" s="13">
        <v>187099.0094635612</v>
      </c>
    </row>
    <row r="379" spans="12:13" x14ac:dyDescent="0.3">
      <c r="L379">
        <v>367</v>
      </c>
      <c r="M379" s="13">
        <v>171065.17817809337</v>
      </c>
    </row>
    <row r="380" spans="12:13" x14ac:dyDescent="0.3">
      <c r="L380">
        <v>368</v>
      </c>
      <c r="M380" s="13">
        <v>172928.12224336094</v>
      </c>
    </row>
    <row r="381" spans="12:13" x14ac:dyDescent="0.3">
      <c r="L381">
        <v>369</v>
      </c>
      <c r="M381" s="13">
        <v>107392.68988475474</v>
      </c>
    </row>
    <row r="382" spans="12:13" x14ac:dyDescent="0.3">
      <c r="L382">
        <v>370</v>
      </c>
      <c r="M382" s="13">
        <v>73279.837000080603</v>
      </c>
    </row>
    <row r="383" spans="12:13" x14ac:dyDescent="0.3">
      <c r="L383">
        <v>371</v>
      </c>
      <c r="M383" s="13">
        <v>129191.66513908902</v>
      </c>
    </row>
    <row r="384" spans="12:13" x14ac:dyDescent="0.3">
      <c r="L384">
        <v>372</v>
      </c>
      <c r="M384" s="13">
        <v>79734.265930090303</v>
      </c>
    </row>
    <row r="385" spans="12:13" x14ac:dyDescent="0.3">
      <c r="L385">
        <v>373</v>
      </c>
      <c r="M385" s="13">
        <v>147599.48736525685</v>
      </c>
    </row>
    <row r="386" spans="12:13" x14ac:dyDescent="0.3">
      <c r="L386">
        <v>374</v>
      </c>
      <c r="M386" s="13">
        <v>102157.78194170223</v>
      </c>
    </row>
    <row r="387" spans="12:13" x14ac:dyDescent="0.3">
      <c r="L387">
        <v>375</v>
      </c>
      <c r="M387" s="13">
        <v>158964.97566177585</v>
      </c>
    </row>
    <row r="388" spans="12:13" x14ac:dyDescent="0.3">
      <c r="L388">
        <v>376</v>
      </c>
      <c r="M388" s="13">
        <v>73333.715145685914</v>
      </c>
    </row>
    <row r="389" spans="12:13" x14ac:dyDescent="0.3">
      <c r="L389">
        <v>377</v>
      </c>
      <c r="M389" s="13">
        <v>205761.80550163664</v>
      </c>
    </row>
    <row r="390" spans="12:13" x14ac:dyDescent="0.3">
      <c r="L390">
        <v>378</v>
      </c>
      <c r="M390" s="13">
        <v>124954.47834381965</v>
      </c>
    </row>
    <row r="391" spans="12:13" x14ac:dyDescent="0.3">
      <c r="L391">
        <v>379</v>
      </c>
      <c r="M391" s="13">
        <v>120435.52135988171</v>
      </c>
    </row>
    <row r="392" spans="12:13" x14ac:dyDescent="0.3">
      <c r="L392">
        <v>380</v>
      </c>
      <c r="M392" s="13">
        <v>154764.94171427167</v>
      </c>
    </row>
    <row r="393" spans="12:13" x14ac:dyDescent="0.3">
      <c r="L393">
        <v>381</v>
      </c>
      <c r="M393" s="13">
        <v>119172.82148052426</v>
      </c>
    </row>
    <row r="394" spans="12:13" x14ac:dyDescent="0.3">
      <c r="L394">
        <v>382</v>
      </c>
      <c r="M394" s="13">
        <v>139201.2906492959</v>
      </c>
    </row>
    <row r="395" spans="12:13" x14ac:dyDescent="0.3">
      <c r="L395">
        <v>383</v>
      </c>
      <c r="M395" s="13">
        <v>176921.54760501007</v>
      </c>
    </row>
    <row r="396" spans="12:13" x14ac:dyDescent="0.3">
      <c r="L396">
        <v>384</v>
      </c>
      <c r="M396" s="13">
        <v>148254.21385462844</v>
      </c>
    </row>
    <row r="397" spans="12:13" x14ac:dyDescent="0.3">
      <c r="L397">
        <v>385</v>
      </c>
      <c r="M397" s="13">
        <v>143073.68200838249</v>
      </c>
    </row>
    <row r="398" spans="12:13" x14ac:dyDescent="0.3">
      <c r="L398">
        <v>386</v>
      </c>
      <c r="M398" s="13">
        <v>66783.682018388441</v>
      </c>
    </row>
    <row r="399" spans="12:13" x14ac:dyDescent="0.3">
      <c r="L399">
        <v>387</v>
      </c>
      <c r="M399" s="13">
        <v>53714.510108049792</v>
      </c>
    </row>
    <row r="400" spans="12:13" x14ac:dyDescent="0.3">
      <c r="L400">
        <v>388</v>
      </c>
      <c r="M400" s="13">
        <v>142948.62857692852</v>
      </c>
    </row>
    <row r="401" spans="12:13" x14ac:dyDescent="0.3">
      <c r="L401">
        <v>389</v>
      </c>
      <c r="M401" s="13">
        <v>83203.68840559441</v>
      </c>
    </row>
    <row r="402" spans="12:13" x14ac:dyDescent="0.3">
      <c r="L402">
        <v>390</v>
      </c>
      <c r="M402" s="13">
        <v>114699.59312775321</v>
      </c>
    </row>
    <row r="403" spans="12:13" x14ac:dyDescent="0.3">
      <c r="L403">
        <v>391</v>
      </c>
      <c r="M403" s="13">
        <v>136576.35785320439</v>
      </c>
    </row>
    <row r="404" spans="12:13" x14ac:dyDescent="0.3">
      <c r="L404">
        <v>392</v>
      </c>
      <c r="M404" s="13">
        <v>94110.636601344158</v>
      </c>
    </row>
    <row r="405" spans="12:13" x14ac:dyDescent="0.3">
      <c r="L405">
        <v>393</v>
      </c>
      <c r="M405" s="13">
        <v>110471.92814001409</v>
      </c>
    </row>
    <row r="406" spans="12:13" x14ac:dyDescent="0.3">
      <c r="L406">
        <v>394</v>
      </c>
      <c r="M406" s="13">
        <v>195466.29018443415</v>
      </c>
    </row>
    <row r="407" spans="12:13" x14ac:dyDescent="0.3">
      <c r="L407">
        <v>395</v>
      </c>
      <c r="M407" s="13">
        <v>135861.06527314003</v>
      </c>
    </row>
    <row r="408" spans="12:13" x14ac:dyDescent="0.3">
      <c r="L408">
        <v>396</v>
      </c>
      <c r="M408" s="13">
        <v>47113.720844647512</v>
      </c>
    </row>
    <row r="409" spans="12:13" x14ac:dyDescent="0.3">
      <c r="L409">
        <v>397</v>
      </c>
      <c r="M409" s="13">
        <v>83880.011188296165</v>
      </c>
    </row>
    <row r="410" spans="12:13" x14ac:dyDescent="0.3">
      <c r="L410">
        <v>398</v>
      </c>
      <c r="M410" s="13">
        <v>143516.58404360502</v>
      </c>
    </row>
    <row r="411" spans="12:13" x14ac:dyDescent="0.3">
      <c r="L411">
        <v>399</v>
      </c>
      <c r="M411" s="13">
        <v>117024.04484338537</v>
      </c>
    </row>
    <row r="412" spans="12:13" x14ac:dyDescent="0.3">
      <c r="L412">
        <v>400</v>
      </c>
      <c r="M412" s="13">
        <v>107872.12574426574</v>
      </c>
    </row>
    <row r="413" spans="12:13" x14ac:dyDescent="0.3">
      <c r="L413">
        <v>401</v>
      </c>
      <c r="M413" s="13">
        <v>157623.09785315738</v>
      </c>
    </row>
    <row r="414" spans="12:13" x14ac:dyDescent="0.3">
      <c r="L414">
        <v>402</v>
      </c>
      <c r="M414" s="13">
        <v>193376.0568978037</v>
      </c>
    </row>
    <row r="415" spans="12:13" x14ac:dyDescent="0.3">
      <c r="L415">
        <v>403</v>
      </c>
      <c r="M415" s="13">
        <v>153355.39822422471</v>
      </c>
    </row>
    <row r="416" spans="12:13" x14ac:dyDescent="0.3">
      <c r="L416">
        <v>404</v>
      </c>
      <c r="M416" s="13">
        <v>142282.1318809737</v>
      </c>
    </row>
    <row r="417" spans="12:13" x14ac:dyDescent="0.3">
      <c r="L417">
        <v>405</v>
      </c>
      <c r="M417" s="13">
        <v>160309.19073786031</v>
      </c>
    </row>
    <row r="418" spans="12:13" x14ac:dyDescent="0.3">
      <c r="L418">
        <v>406</v>
      </c>
      <c r="M418" s="13">
        <v>145989.32243396272</v>
      </c>
    </row>
    <row r="419" spans="12:13" x14ac:dyDescent="0.3">
      <c r="L419">
        <v>407</v>
      </c>
      <c r="M419" s="13">
        <v>110125.65515539923</v>
      </c>
    </row>
    <row r="420" spans="12:13" x14ac:dyDescent="0.3">
      <c r="L420">
        <v>408</v>
      </c>
      <c r="M420" s="13">
        <v>74080.983925681649</v>
      </c>
    </row>
    <row r="421" spans="12:13" x14ac:dyDescent="0.3">
      <c r="L421">
        <v>409</v>
      </c>
      <c r="M421" s="13">
        <v>137565.03568339994</v>
      </c>
    </row>
    <row r="422" spans="12:13" x14ac:dyDescent="0.3">
      <c r="L422">
        <v>410</v>
      </c>
      <c r="M422" s="13">
        <v>104912.43568788579</v>
      </c>
    </row>
    <row r="423" spans="12:13" x14ac:dyDescent="0.3">
      <c r="L423">
        <v>411</v>
      </c>
      <c r="M423" s="13">
        <v>163818.64281175431</v>
      </c>
    </row>
    <row r="424" spans="12:13" x14ac:dyDescent="0.3">
      <c r="L424">
        <v>412</v>
      </c>
      <c r="M424" s="13">
        <v>63490.421454882511</v>
      </c>
    </row>
    <row r="425" spans="12:13" x14ac:dyDescent="0.3">
      <c r="L425">
        <v>413</v>
      </c>
      <c r="M425" s="13">
        <v>69680.954245798712</v>
      </c>
    </row>
    <row r="426" spans="12:13" x14ac:dyDescent="0.3">
      <c r="L426">
        <v>414</v>
      </c>
      <c r="M426" s="13">
        <v>128540.89140921168</v>
      </c>
    </row>
    <row r="427" spans="12:13" x14ac:dyDescent="0.3">
      <c r="L427">
        <v>415</v>
      </c>
      <c r="M427" s="13">
        <v>117597.71399535111</v>
      </c>
    </row>
    <row r="428" spans="12:13" x14ac:dyDescent="0.3">
      <c r="L428">
        <v>416</v>
      </c>
      <c r="M428" s="13">
        <v>147264.77535841122</v>
      </c>
    </row>
    <row r="429" spans="12:13" x14ac:dyDescent="0.3">
      <c r="L429">
        <v>417</v>
      </c>
      <c r="M429" s="13">
        <v>105488.50009945218</v>
      </c>
    </row>
    <row r="430" spans="12:13" x14ac:dyDescent="0.3">
      <c r="L430">
        <v>418</v>
      </c>
      <c r="M430" s="13">
        <v>158951.70517890205</v>
      </c>
    </row>
    <row r="431" spans="12:13" x14ac:dyDescent="0.3">
      <c r="L431">
        <v>419</v>
      </c>
      <c r="M431" s="13">
        <v>116331.66599288353</v>
      </c>
    </row>
    <row r="432" spans="12:13" x14ac:dyDescent="0.3">
      <c r="L432">
        <v>420</v>
      </c>
      <c r="M432" s="13">
        <v>66860.44172892801</v>
      </c>
    </row>
    <row r="433" spans="12:13" x14ac:dyDescent="0.3">
      <c r="L433">
        <v>421</v>
      </c>
      <c r="M433" s="13">
        <v>147648.1210609524</v>
      </c>
    </row>
    <row r="434" spans="12:13" x14ac:dyDescent="0.3">
      <c r="L434">
        <v>422</v>
      </c>
      <c r="M434" s="13">
        <v>120314.64641483349</v>
      </c>
    </row>
    <row r="435" spans="12:13" x14ac:dyDescent="0.3">
      <c r="L435">
        <v>423</v>
      </c>
      <c r="M435" s="13">
        <v>64097.88025978543</v>
      </c>
    </row>
    <row r="436" spans="12:13" x14ac:dyDescent="0.3">
      <c r="L436">
        <v>424</v>
      </c>
      <c r="M436" s="13">
        <v>57539.022957581619</v>
      </c>
    </row>
    <row r="437" spans="12:13" x14ac:dyDescent="0.3">
      <c r="L437">
        <v>425</v>
      </c>
      <c r="M437" s="13">
        <v>104875.68623385121</v>
      </c>
    </row>
    <row r="438" spans="12:13" x14ac:dyDescent="0.3">
      <c r="L438">
        <v>426</v>
      </c>
      <c r="M438" s="13">
        <v>36239.039289293549</v>
      </c>
    </row>
    <row r="439" spans="12:13" x14ac:dyDescent="0.3">
      <c r="L439">
        <v>427</v>
      </c>
      <c r="M439" s="13">
        <v>110159.53373135679</v>
      </c>
    </row>
    <row r="440" spans="12:13" x14ac:dyDescent="0.3">
      <c r="L440">
        <v>428</v>
      </c>
      <c r="M440" s="13">
        <v>80329.744397836141</v>
      </c>
    </row>
    <row r="441" spans="12:13" x14ac:dyDescent="0.3">
      <c r="L441">
        <v>429</v>
      </c>
      <c r="M441" s="13">
        <v>162080.46000273013</v>
      </c>
    </row>
    <row r="442" spans="12:13" x14ac:dyDescent="0.3">
      <c r="L442">
        <v>430</v>
      </c>
      <c r="M442" s="13">
        <v>127671.81459124206</v>
      </c>
    </row>
    <row r="443" spans="12:13" x14ac:dyDescent="0.3">
      <c r="L443">
        <v>431</v>
      </c>
      <c r="M443" s="13">
        <v>101870.69192324625</v>
      </c>
    </row>
    <row r="444" spans="12:13" x14ac:dyDescent="0.3">
      <c r="L444">
        <v>432</v>
      </c>
      <c r="M444" s="13">
        <v>80345.895421747002</v>
      </c>
    </row>
    <row r="445" spans="12:13" x14ac:dyDescent="0.3">
      <c r="L445">
        <v>433</v>
      </c>
      <c r="M445" s="13">
        <v>142206.9358542985</v>
      </c>
    </row>
    <row r="446" spans="12:13" x14ac:dyDescent="0.3">
      <c r="L446">
        <v>434</v>
      </c>
      <c r="M446" s="13">
        <v>151987.49179281396</v>
      </c>
    </row>
    <row r="447" spans="12:13" x14ac:dyDescent="0.3">
      <c r="L447">
        <v>435</v>
      </c>
      <c r="M447" s="13">
        <v>133698.44691504102</v>
      </c>
    </row>
    <row r="448" spans="12:13" x14ac:dyDescent="0.3">
      <c r="L448">
        <v>436</v>
      </c>
      <c r="M448" s="13">
        <v>95682.320958698023</v>
      </c>
    </row>
    <row r="449" spans="12:13" x14ac:dyDescent="0.3">
      <c r="L449">
        <v>437</v>
      </c>
      <c r="M449" s="13">
        <v>152114.29888818745</v>
      </c>
    </row>
    <row r="450" spans="12:13" x14ac:dyDescent="0.3">
      <c r="L450">
        <v>438</v>
      </c>
      <c r="M450" s="13">
        <v>101494.41841563419</v>
      </c>
    </row>
    <row r="451" spans="12:13" x14ac:dyDescent="0.3">
      <c r="L451">
        <v>439</v>
      </c>
      <c r="M451" s="13">
        <v>86084.095737363707</v>
      </c>
    </row>
    <row r="452" spans="12:13" x14ac:dyDescent="0.3">
      <c r="L452">
        <v>440</v>
      </c>
      <c r="M452" s="13">
        <v>124648.99740496866</v>
      </c>
    </row>
    <row r="453" spans="12:13" x14ac:dyDescent="0.3">
      <c r="L453">
        <v>441</v>
      </c>
      <c r="M453" s="13">
        <v>95834.786208206438</v>
      </c>
    </row>
    <row r="454" spans="12:13" x14ac:dyDescent="0.3">
      <c r="L454">
        <v>442</v>
      </c>
      <c r="M454" s="13">
        <v>123448.97964456963</v>
      </c>
    </row>
    <row r="455" spans="12:13" x14ac:dyDescent="0.3">
      <c r="L455">
        <v>443</v>
      </c>
      <c r="M455" s="13">
        <v>123210.7830026279</v>
      </c>
    </row>
    <row r="456" spans="12:13" x14ac:dyDescent="0.3">
      <c r="L456">
        <v>444</v>
      </c>
      <c r="M456" s="13">
        <v>148385.76926837745</v>
      </c>
    </row>
    <row r="457" spans="12:13" x14ac:dyDescent="0.3">
      <c r="L457">
        <v>445</v>
      </c>
      <c r="M457" s="13">
        <v>128641.53400545777</v>
      </c>
    </row>
    <row r="458" spans="12:13" x14ac:dyDescent="0.3">
      <c r="L458">
        <v>446</v>
      </c>
      <c r="M458" s="13">
        <v>137596.4631692355</v>
      </c>
    </row>
    <row r="459" spans="12:13" x14ac:dyDescent="0.3">
      <c r="L459">
        <v>447</v>
      </c>
      <c r="M459" s="13">
        <v>142898.72216729086</v>
      </c>
    </row>
    <row r="460" spans="12:13" x14ac:dyDescent="0.3">
      <c r="L460">
        <v>448</v>
      </c>
      <c r="M460" s="13">
        <v>201409.55199772376</v>
      </c>
    </row>
    <row r="461" spans="12:13" x14ac:dyDescent="0.3">
      <c r="L461">
        <v>449</v>
      </c>
      <c r="M461" s="13">
        <v>125297.81618109683</v>
      </c>
    </row>
    <row r="462" spans="12:13" x14ac:dyDescent="0.3">
      <c r="L462">
        <v>450</v>
      </c>
      <c r="M462" s="13">
        <v>110595.87967431278</v>
      </c>
    </row>
    <row r="463" spans="12:13" x14ac:dyDescent="0.3">
      <c r="L463">
        <v>451</v>
      </c>
      <c r="M463" s="13">
        <v>161087.3302472377</v>
      </c>
    </row>
    <row r="464" spans="12:13" x14ac:dyDescent="0.3">
      <c r="L464">
        <v>452</v>
      </c>
      <c r="M464" s="13">
        <v>145679.07132823314</v>
      </c>
    </row>
    <row r="465" spans="12:13" x14ac:dyDescent="0.3">
      <c r="L465">
        <v>453</v>
      </c>
      <c r="M465" s="13">
        <v>93219.12723862697</v>
      </c>
    </row>
    <row r="466" spans="12:13" x14ac:dyDescent="0.3">
      <c r="L466">
        <v>454</v>
      </c>
      <c r="M466" s="13">
        <v>92339.233222925512</v>
      </c>
    </row>
    <row r="467" spans="12:13" x14ac:dyDescent="0.3">
      <c r="L467">
        <v>455</v>
      </c>
      <c r="M467" s="13">
        <v>110533.15675771283</v>
      </c>
    </row>
    <row r="468" spans="12:13" x14ac:dyDescent="0.3">
      <c r="L468">
        <v>456</v>
      </c>
      <c r="M468" s="13">
        <v>113041.46962166161</v>
      </c>
    </row>
    <row r="469" spans="12:13" x14ac:dyDescent="0.3">
      <c r="L469">
        <v>457</v>
      </c>
      <c r="M469" s="13">
        <v>126256.65848597785</v>
      </c>
    </row>
    <row r="470" spans="12:13" x14ac:dyDescent="0.3">
      <c r="L470">
        <v>458</v>
      </c>
      <c r="M470" s="13">
        <v>99159.583794081263</v>
      </c>
    </row>
    <row r="471" spans="12:13" x14ac:dyDescent="0.3">
      <c r="L471">
        <v>459</v>
      </c>
      <c r="M471" s="13">
        <v>96454.459401248052</v>
      </c>
    </row>
    <row r="472" spans="12:13" x14ac:dyDescent="0.3">
      <c r="L472">
        <v>460</v>
      </c>
      <c r="M472" s="13">
        <v>67777.503387361066</v>
      </c>
    </row>
    <row r="473" spans="12:13" x14ac:dyDescent="0.3">
      <c r="L473">
        <v>461</v>
      </c>
      <c r="M473" s="13">
        <v>88413.21720304052</v>
      </c>
    </row>
    <row r="474" spans="12:13" x14ac:dyDescent="0.3">
      <c r="L474">
        <v>462</v>
      </c>
      <c r="M474" s="13">
        <v>111670.30320083007</v>
      </c>
    </row>
    <row r="475" spans="12:13" x14ac:dyDescent="0.3">
      <c r="L475">
        <v>463</v>
      </c>
      <c r="M475" s="13">
        <v>143357.96879469359</v>
      </c>
    </row>
    <row r="476" spans="12:13" x14ac:dyDescent="0.3">
      <c r="L476">
        <v>464</v>
      </c>
      <c r="M476" s="13">
        <v>110813.61046635709</v>
      </c>
    </row>
    <row r="477" spans="12:13" x14ac:dyDescent="0.3">
      <c r="L477">
        <v>465</v>
      </c>
      <c r="M477" s="13">
        <v>132740.95986548305</v>
      </c>
    </row>
    <row r="478" spans="12:13" x14ac:dyDescent="0.3">
      <c r="L478">
        <v>466</v>
      </c>
      <c r="M478" s="13">
        <v>168775.66106334579</v>
      </c>
    </row>
    <row r="479" spans="12:13" x14ac:dyDescent="0.3">
      <c r="L479">
        <v>467</v>
      </c>
      <c r="M479" s="13">
        <v>149311.87859395691</v>
      </c>
    </row>
    <row r="480" spans="12:13" x14ac:dyDescent="0.3">
      <c r="L480">
        <v>468</v>
      </c>
      <c r="M480" s="13">
        <v>39578.476218967822</v>
      </c>
    </row>
    <row r="481" spans="12:13" x14ac:dyDescent="0.3">
      <c r="L481">
        <v>469</v>
      </c>
      <c r="M481" s="13">
        <v>95900.460219021741</v>
      </c>
    </row>
    <row r="482" spans="12:13" x14ac:dyDescent="0.3">
      <c r="L482">
        <v>470</v>
      </c>
      <c r="M482" s="13">
        <v>71940.466673001618</v>
      </c>
    </row>
    <row r="483" spans="12:13" x14ac:dyDescent="0.3">
      <c r="L483">
        <v>471</v>
      </c>
      <c r="M483" s="13">
        <v>138331.49366635832</v>
      </c>
    </row>
    <row r="484" spans="12:13" x14ac:dyDescent="0.3">
      <c r="L484">
        <v>472</v>
      </c>
      <c r="M484" s="13">
        <v>147659.09653695318</v>
      </c>
    </row>
    <row r="485" spans="12:13" x14ac:dyDescent="0.3">
      <c r="L485">
        <v>473</v>
      </c>
      <c r="M485" s="13">
        <v>137646.36872854468</v>
      </c>
    </row>
    <row r="486" spans="12:13" x14ac:dyDescent="0.3">
      <c r="L486">
        <v>474</v>
      </c>
      <c r="M486" s="13">
        <v>112193.70939755777</v>
      </c>
    </row>
    <row r="487" spans="12:13" x14ac:dyDescent="0.3">
      <c r="L487">
        <v>475</v>
      </c>
      <c r="M487" s="13">
        <v>71268.114400594146</v>
      </c>
    </row>
    <row r="488" spans="12:13" x14ac:dyDescent="0.3">
      <c r="L488">
        <v>476</v>
      </c>
      <c r="M488" s="13">
        <v>146064.12042725214</v>
      </c>
    </row>
    <row r="489" spans="12:13" x14ac:dyDescent="0.3">
      <c r="L489">
        <v>477</v>
      </c>
      <c r="M489" s="13">
        <v>91476.144010596559</v>
      </c>
    </row>
    <row r="490" spans="12:13" x14ac:dyDescent="0.3">
      <c r="L490">
        <v>478</v>
      </c>
      <c r="M490" s="13">
        <v>76684.588992511824</v>
      </c>
    </row>
    <row r="491" spans="12:13" x14ac:dyDescent="0.3">
      <c r="L491">
        <v>479</v>
      </c>
      <c r="M491" s="13">
        <v>86641.306672416686</v>
      </c>
    </row>
    <row r="492" spans="12:13" x14ac:dyDescent="0.3">
      <c r="L492">
        <v>480</v>
      </c>
      <c r="M492" s="13">
        <v>161680.34017120113</v>
      </c>
    </row>
    <row r="493" spans="12:13" x14ac:dyDescent="0.3">
      <c r="L493">
        <v>481</v>
      </c>
      <c r="M493" s="13">
        <v>152526.06135810356</v>
      </c>
    </row>
    <row r="494" spans="12:13" x14ac:dyDescent="0.3">
      <c r="L494">
        <v>482</v>
      </c>
      <c r="M494" s="13">
        <v>107012.83344944665</v>
      </c>
    </row>
    <row r="495" spans="12:13" x14ac:dyDescent="0.3">
      <c r="L495">
        <v>483</v>
      </c>
      <c r="M495" s="13">
        <v>57609.773278167413</v>
      </c>
    </row>
    <row r="496" spans="12:13" x14ac:dyDescent="0.3">
      <c r="L496">
        <v>484</v>
      </c>
      <c r="M496" s="13">
        <v>97634.71079709573</v>
      </c>
    </row>
    <row r="497" spans="12:13" x14ac:dyDescent="0.3">
      <c r="L497">
        <v>485</v>
      </c>
      <c r="M497" s="13">
        <v>72688.137497585703</v>
      </c>
    </row>
    <row r="498" spans="12:13" x14ac:dyDescent="0.3">
      <c r="L498">
        <v>486</v>
      </c>
      <c r="M498" s="13">
        <v>108254.96231369824</v>
      </c>
    </row>
    <row r="499" spans="12:13" x14ac:dyDescent="0.3">
      <c r="L499">
        <v>487</v>
      </c>
      <c r="M499" s="13">
        <v>163681.14969347959</v>
      </c>
    </row>
    <row r="500" spans="12:13" x14ac:dyDescent="0.3">
      <c r="L500">
        <v>488</v>
      </c>
      <c r="M500" s="13">
        <v>152284.66743184804</v>
      </c>
    </row>
    <row r="501" spans="12:13" x14ac:dyDescent="0.3">
      <c r="L501">
        <v>489</v>
      </c>
      <c r="M501" s="13">
        <v>120126.240965351</v>
      </c>
    </row>
    <row r="502" spans="12:13" x14ac:dyDescent="0.3">
      <c r="L502">
        <v>490</v>
      </c>
      <c r="M502" s="13">
        <v>102223.14965800513</v>
      </c>
    </row>
    <row r="503" spans="12:13" x14ac:dyDescent="0.3">
      <c r="L503">
        <v>491</v>
      </c>
      <c r="M503" s="13">
        <v>143673.90681548964</v>
      </c>
    </row>
    <row r="504" spans="12:13" x14ac:dyDescent="0.3">
      <c r="L504">
        <v>492</v>
      </c>
      <c r="M504" s="13">
        <v>75914.478396006016</v>
      </c>
    </row>
    <row r="505" spans="12:13" x14ac:dyDescent="0.3">
      <c r="L505">
        <v>493</v>
      </c>
      <c r="M505" s="13">
        <v>46966.230748853806</v>
      </c>
    </row>
    <row r="506" spans="12:13" x14ac:dyDescent="0.3">
      <c r="L506">
        <v>494</v>
      </c>
      <c r="M506" s="13">
        <v>115781.81083367145</v>
      </c>
    </row>
    <row r="507" spans="12:13" x14ac:dyDescent="0.3">
      <c r="L507">
        <v>495</v>
      </c>
      <c r="M507" s="13">
        <v>67521.764372149832</v>
      </c>
    </row>
    <row r="508" spans="12:13" x14ac:dyDescent="0.3">
      <c r="L508">
        <v>496</v>
      </c>
      <c r="M508" s="13">
        <v>58901.537310337546</v>
      </c>
    </row>
    <row r="509" spans="12:13" x14ac:dyDescent="0.3">
      <c r="L509">
        <v>497</v>
      </c>
      <c r="M509" s="13">
        <v>133898.67435019277</v>
      </c>
    </row>
    <row r="510" spans="12:13" x14ac:dyDescent="0.3">
      <c r="L510">
        <v>498</v>
      </c>
      <c r="M510" s="13">
        <v>85432.521440712997</v>
      </c>
    </row>
    <row r="511" spans="12:13" x14ac:dyDescent="0.3">
      <c r="L511">
        <v>499</v>
      </c>
      <c r="M511" s="13">
        <v>175866.63320076594</v>
      </c>
    </row>
    <row r="512" spans="12:13" x14ac:dyDescent="0.3">
      <c r="L512">
        <v>500</v>
      </c>
      <c r="M512" s="13">
        <v>174145.7600942938</v>
      </c>
    </row>
    <row r="513" spans="12:13" x14ac:dyDescent="0.3">
      <c r="L513">
        <v>501</v>
      </c>
      <c r="M513" s="13">
        <v>122441.6839139462</v>
      </c>
    </row>
    <row r="514" spans="12:13" x14ac:dyDescent="0.3">
      <c r="L514">
        <v>502</v>
      </c>
      <c r="M514" s="13">
        <v>78793.835084274673</v>
      </c>
    </row>
    <row r="515" spans="12:13" x14ac:dyDescent="0.3">
      <c r="L515">
        <v>503</v>
      </c>
      <c r="M515" s="13">
        <v>110494.26869068238</v>
      </c>
    </row>
    <row r="516" spans="12:13" x14ac:dyDescent="0.3">
      <c r="L516">
        <v>504</v>
      </c>
      <c r="M516" s="13">
        <v>90843.006545930897</v>
      </c>
    </row>
    <row r="517" spans="12:13" x14ac:dyDescent="0.3">
      <c r="L517">
        <v>505</v>
      </c>
      <c r="M517" s="13">
        <v>117576.96673645815</v>
      </c>
    </row>
    <row r="518" spans="12:13" x14ac:dyDescent="0.3">
      <c r="L518">
        <v>506</v>
      </c>
      <c r="M518" s="13">
        <v>116367.47840165313</v>
      </c>
    </row>
    <row r="519" spans="12:13" x14ac:dyDescent="0.3">
      <c r="L519">
        <v>507</v>
      </c>
      <c r="M519" s="13">
        <v>98412.143761778454</v>
      </c>
    </row>
    <row r="520" spans="12:13" x14ac:dyDescent="0.3">
      <c r="L520">
        <v>508</v>
      </c>
      <c r="M520" s="13">
        <v>148627.1121357455</v>
      </c>
    </row>
    <row r="521" spans="12:13" x14ac:dyDescent="0.3">
      <c r="L521">
        <v>509</v>
      </c>
      <c r="M521" s="13">
        <v>78257.650081504427</v>
      </c>
    </row>
    <row r="522" spans="12:13" x14ac:dyDescent="0.3">
      <c r="L522">
        <v>510</v>
      </c>
      <c r="M522" s="13">
        <v>91348.675758500438</v>
      </c>
    </row>
    <row r="523" spans="12:13" x14ac:dyDescent="0.3">
      <c r="L523">
        <v>511</v>
      </c>
      <c r="M523" s="13">
        <v>147318.90976681397</v>
      </c>
    </row>
    <row r="524" spans="12:13" x14ac:dyDescent="0.3">
      <c r="L524">
        <v>512</v>
      </c>
      <c r="M524" s="13">
        <v>130857.65234689403</v>
      </c>
    </row>
    <row r="525" spans="12:13" x14ac:dyDescent="0.3">
      <c r="L525">
        <v>513</v>
      </c>
      <c r="M525" s="13">
        <v>182789.72909245311</v>
      </c>
    </row>
    <row r="526" spans="12:13" x14ac:dyDescent="0.3">
      <c r="L526">
        <v>514</v>
      </c>
      <c r="M526" s="13">
        <v>129825.36335215635</v>
      </c>
    </row>
    <row r="527" spans="12:13" x14ac:dyDescent="0.3">
      <c r="L527">
        <v>515</v>
      </c>
      <c r="M527" s="13">
        <v>67363.6671306075</v>
      </c>
    </row>
    <row r="528" spans="12:13" x14ac:dyDescent="0.3">
      <c r="L528">
        <v>516</v>
      </c>
      <c r="M528" s="13">
        <v>77716.830523438315</v>
      </c>
    </row>
    <row r="529" spans="12:13" x14ac:dyDescent="0.3">
      <c r="L529">
        <v>517</v>
      </c>
      <c r="M529" s="13">
        <v>146890.57770316943</v>
      </c>
    </row>
    <row r="530" spans="12:13" x14ac:dyDescent="0.3">
      <c r="L530">
        <v>518</v>
      </c>
      <c r="M530" s="13">
        <v>112263.90170656214</v>
      </c>
    </row>
    <row r="531" spans="12:13" x14ac:dyDescent="0.3">
      <c r="L531">
        <v>519</v>
      </c>
      <c r="M531" s="13">
        <v>32482.451696108805</v>
      </c>
    </row>
    <row r="532" spans="12:13" x14ac:dyDescent="0.3">
      <c r="L532">
        <v>520</v>
      </c>
      <c r="M532" s="13">
        <v>163725.04535156192</v>
      </c>
    </row>
    <row r="533" spans="12:13" x14ac:dyDescent="0.3">
      <c r="L533">
        <v>521</v>
      </c>
      <c r="M533" s="13">
        <v>141188.54022475568</v>
      </c>
    </row>
    <row r="534" spans="12:13" x14ac:dyDescent="0.3">
      <c r="L534">
        <v>522</v>
      </c>
      <c r="M534" s="13">
        <v>91223.218360068306</v>
      </c>
    </row>
    <row r="535" spans="12:13" x14ac:dyDescent="0.3">
      <c r="L535">
        <v>523</v>
      </c>
      <c r="M535" s="13">
        <v>101889.50678583515</v>
      </c>
    </row>
    <row r="536" spans="12:13" x14ac:dyDescent="0.3">
      <c r="L536">
        <v>524</v>
      </c>
      <c r="M536" s="13">
        <v>66001.059536991874</v>
      </c>
    </row>
    <row r="537" spans="12:13" x14ac:dyDescent="0.3">
      <c r="L537">
        <v>525</v>
      </c>
      <c r="M537" s="13">
        <v>54449.71626906679</v>
      </c>
    </row>
    <row r="538" spans="12:13" x14ac:dyDescent="0.3">
      <c r="L538">
        <v>526</v>
      </c>
      <c r="M538" s="13">
        <v>152797.91911201796</v>
      </c>
    </row>
    <row r="539" spans="12:13" x14ac:dyDescent="0.3">
      <c r="L539">
        <v>527</v>
      </c>
      <c r="M539" s="13">
        <v>90322.478451983465</v>
      </c>
    </row>
    <row r="540" spans="12:13" x14ac:dyDescent="0.3">
      <c r="L540">
        <v>528</v>
      </c>
      <c r="M540" s="13">
        <v>74465.795755186657</v>
      </c>
    </row>
    <row r="541" spans="12:13" x14ac:dyDescent="0.3">
      <c r="L541">
        <v>529</v>
      </c>
      <c r="M541" s="13">
        <v>136012.87070903002</v>
      </c>
    </row>
    <row r="542" spans="12:13" x14ac:dyDescent="0.3">
      <c r="L542">
        <v>530</v>
      </c>
      <c r="M542" s="13">
        <v>174666.06334805465</v>
      </c>
    </row>
    <row r="543" spans="12:13" x14ac:dyDescent="0.3">
      <c r="L543">
        <v>531</v>
      </c>
      <c r="M543" s="13">
        <v>83359.850080779623</v>
      </c>
    </row>
    <row r="544" spans="12:13" x14ac:dyDescent="0.3">
      <c r="L544">
        <v>532</v>
      </c>
      <c r="M544" s="13">
        <v>162875.4817567298</v>
      </c>
    </row>
    <row r="545" spans="12:13" x14ac:dyDescent="0.3">
      <c r="L545">
        <v>533</v>
      </c>
      <c r="M545" s="13">
        <v>113849.6766358577</v>
      </c>
    </row>
    <row r="546" spans="12:13" x14ac:dyDescent="0.3">
      <c r="L546">
        <v>534</v>
      </c>
      <c r="M546" s="13">
        <v>74284.827788694325</v>
      </c>
    </row>
    <row r="547" spans="12:13" x14ac:dyDescent="0.3">
      <c r="L547">
        <v>535</v>
      </c>
      <c r="M547" s="13">
        <v>79862.152496306051</v>
      </c>
    </row>
    <row r="548" spans="12:13" x14ac:dyDescent="0.3">
      <c r="L548">
        <v>536</v>
      </c>
      <c r="M548" s="13">
        <v>124562.5966457561</v>
      </c>
    </row>
    <row r="549" spans="12:13" x14ac:dyDescent="0.3">
      <c r="L549">
        <v>537</v>
      </c>
      <c r="M549" s="13">
        <v>65092.284636484663</v>
      </c>
    </row>
    <row r="550" spans="12:13" x14ac:dyDescent="0.3">
      <c r="L550">
        <v>538</v>
      </c>
      <c r="M550" s="13">
        <v>130817.3800511155</v>
      </c>
    </row>
    <row r="551" spans="12:13" x14ac:dyDescent="0.3">
      <c r="L551">
        <v>539</v>
      </c>
      <c r="M551" s="13">
        <v>99732.946667620708</v>
      </c>
    </row>
    <row r="552" spans="12:13" x14ac:dyDescent="0.3">
      <c r="L552">
        <v>540</v>
      </c>
      <c r="M552" s="13">
        <v>50432.004731018445</v>
      </c>
    </row>
    <row r="553" spans="12:13" x14ac:dyDescent="0.3">
      <c r="L553">
        <v>541</v>
      </c>
      <c r="M553" s="13">
        <v>109926.91116735796</v>
      </c>
    </row>
    <row r="554" spans="12:13" x14ac:dyDescent="0.3">
      <c r="L554">
        <v>542</v>
      </c>
      <c r="M554" s="13">
        <v>112756.51450685121</v>
      </c>
    </row>
    <row r="555" spans="12:13" x14ac:dyDescent="0.3">
      <c r="L555">
        <v>543</v>
      </c>
      <c r="M555" s="13">
        <v>61471.617857703852</v>
      </c>
    </row>
    <row r="556" spans="12:13" x14ac:dyDescent="0.3">
      <c r="L556">
        <v>544</v>
      </c>
      <c r="M556" s="13">
        <v>109094.14026092214</v>
      </c>
    </row>
    <row r="557" spans="12:13" x14ac:dyDescent="0.3">
      <c r="L557">
        <v>545</v>
      </c>
      <c r="M557" s="13">
        <v>119204.06029698599</v>
      </c>
    </row>
    <row r="558" spans="12:13" x14ac:dyDescent="0.3">
      <c r="L558">
        <v>546</v>
      </c>
      <c r="M558" s="13">
        <v>96366.697612227494</v>
      </c>
    </row>
    <row r="559" spans="12:13" x14ac:dyDescent="0.3">
      <c r="L559">
        <v>547</v>
      </c>
      <c r="M559" s="13">
        <v>88507.872002053453</v>
      </c>
    </row>
    <row r="560" spans="12:13" x14ac:dyDescent="0.3">
      <c r="L560">
        <v>548</v>
      </c>
      <c r="M560" s="13">
        <v>142295.10425607496</v>
      </c>
    </row>
    <row r="561" spans="12:13" x14ac:dyDescent="0.3">
      <c r="L561">
        <v>549</v>
      </c>
      <c r="M561" s="13">
        <v>134468.35494748532</v>
      </c>
    </row>
    <row r="562" spans="12:13" x14ac:dyDescent="0.3">
      <c r="L562">
        <v>550</v>
      </c>
      <c r="M562" s="13">
        <v>148379.51710406103</v>
      </c>
    </row>
    <row r="563" spans="12:13" x14ac:dyDescent="0.3">
      <c r="L563">
        <v>551</v>
      </c>
      <c r="M563" s="13">
        <v>79579.309255882123</v>
      </c>
    </row>
    <row r="564" spans="12:13" x14ac:dyDescent="0.3">
      <c r="L564">
        <v>552</v>
      </c>
      <c r="M564" s="13">
        <v>90072.033454603748</v>
      </c>
    </row>
    <row r="565" spans="12:13" x14ac:dyDescent="0.3">
      <c r="L565">
        <v>553</v>
      </c>
      <c r="M565" s="13">
        <v>103758.86232655484</v>
      </c>
    </row>
    <row r="566" spans="12:13" x14ac:dyDescent="0.3">
      <c r="L566">
        <v>554</v>
      </c>
      <c r="M566" s="13">
        <v>135882.61574040161</v>
      </c>
    </row>
    <row r="567" spans="12:13" x14ac:dyDescent="0.3">
      <c r="L567">
        <v>555</v>
      </c>
      <c r="M567" s="13">
        <v>93179.89674934186</v>
      </c>
    </row>
    <row r="568" spans="12:13" x14ac:dyDescent="0.3">
      <c r="L568">
        <v>556</v>
      </c>
      <c r="M568" s="13">
        <v>143151.19932885023</v>
      </c>
    </row>
    <row r="569" spans="12:13" x14ac:dyDescent="0.3">
      <c r="L569">
        <v>557</v>
      </c>
      <c r="M569" s="13">
        <v>106771.81725329004</v>
      </c>
    </row>
    <row r="570" spans="12:13" x14ac:dyDescent="0.3">
      <c r="L570">
        <v>558</v>
      </c>
      <c r="M570" s="13">
        <v>83786.021861743822</v>
      </c>
    </row>
    <row r="571" spans="12:13" x14ac:dyDescent="0.3">
      <c r="L571">
        <v>559</v>
      </c>
      <c r="M571" s="13">
        <v>144657.5678116279</v>
      </c>
    </row>
    <row r="572" spans="12:13" x14ac:dyDescent="0.3">
      <c r="L572">
        <v>560</v>
      </c>
      <c r="M572" s="13">
        <v>62711.049738030189</v>
      </c>
    </row>
    <row r="573" spans="12:13" x14ac:dyDescent="0.3">
      <c r="L573">
        <v>561</v>
      </c>
      <c r="M573" s="13">
        <v>125079.54856793085</v>
      </c>
    </row>
    <row r="574" spans="12:13" x14ac:dyDescent="0.3">
      <c r="L574">
        <v>562</v>
      </c>
      <c r="M574" s="13">
        <v>102887.18468884742</v>
      </c>
    </row>
    <row r="575" spans="12:13" x14ac:dyDescent="0.3">
      <c r="L575">
        <v>563</v>
      </c>
      <c r="M575" s="13">
        <v>91104.609195757163</v>
      </c>
    </row>
    <row r="576" spans="12:13" x14ac:dyDescent="0.3">
      <c r="L576">
        <v>564</v>
      </c>
      <c r="M576" s="13">
        <v>66800.65665742362</v>
      </c>
    </row>
    <row r="577" spans="12:13" x14ac:dyDescent="0.3">
      <c r="L577">
        <v>565</v>
      </c>
      <c r="M577" s="13">
        <v>157667.00109586358</v>
      </c>
    </row>
    <row r="578" spans="12:13" x14ac:dyDescent="0.3">
      <c r="L578">
        <v>566</v>
      </c>
      <c r="M578" s="13">
        <v>60192.143210725051</v>
      </c>
    </row>
    <row r="579" spans="12:13" x14ac:dyDescent="0.3">
      <c r="L579">
        <v>567</v>
      </c>
      <c r="M579" s="13">
        <v>139441.80364614719</v>
      </c>
    </row>
    <row r="580" spans="12:13" x14ac:dyDescent="0.3">
      <c r="L580">
        <v>568</v>
      </c>
      <c r="M580" s="13">
        <v>137877.66149852783</v>
      </c>
    </row>
    <row r="581" spans="12:13" x14ac:dyDescent="0.3">
      <c r="L581">
        <v>569</v>
      </c>
      <c r="M581" s="13">
        <v>112692.12953469079</v>
      </c>
    </row>
    <row r="582" spans="12:13" x14ac:dyDescent="0.3">
      <c r="L582">
        <v>570</v>
      </c>
      <c r="M582" s="13">
        <v>121169.10635206694</v>
      </c>
    </row>
    <row r="583" spans="12:13" x14ac:dyDescent="0.3">
      <c r="L583">
        <v>571</v>
      </c>
      <c r="M583" s="13">
        <v>66493.544606932046</v>
      </c>
    </row>
    <row r="584" spans="12:13" x14ac:dyDescent="0.3">
      <c r="L584">
        <v>572</v>
      </c>
      <c r="M584" s="13">
        <v>120961.97929516954</v>
      </c>
    </row>
    <row r="585" spans="12:13" x14ac:dyDescent="0.3">
      <c r="L585">
        <v>573</v>
      </c>
      <c r="M585" s="13">
        <v>85631.898488921463</v>
      </c>
    </row>
    <row r="586" spans="12:13" x14ac:dyDescent="0.3">
      <c r="L586">
        <v>574</v>
      </c>
      <c r="M586" s="13">
        <v>178414.69917066451</v>
      </c>
    </row>
    <row r="587" spans="12:13" x14ac:dyDescent="0.3">
      <c r="L587">
        <v>575</v>
      </c>
      <c r="M587" s="13">
        <v>88445.755266225809</v>
      </c>
    </row>
    <row r="588" spans="12:13" x14ac:dyDescent="0.3">
      <c r="L588">
        <v>576</v>
      </c>
      <c r="M588" s="13">
        <v>142090.84620316487</v>
      </c>
    </row>
    <row r="589" spans="12:13" x14ac:dyDescent="0.3">
      <c r="L589">
        <v>577</v>
      </c>
      <c r="M589" s="13">
        <v>59386.8707173812</v>
      </c>
    </row>
    <row r="590" spans="12:13" x14ac:dyDescent="0.3">
      <c r="L590">
        <v>578</v>
      </c>
      <c r="M590" s="13">
        <v>138399.80868958624</v>
      </c>
    </row>
    <row r="591" spans="12:13" x14ac:dyDescent="0.3">
      <c r="L591">
        <v>579</v>
      </c>
      <c r="M591" s="13">
        <v>148455.38224613876</v>
      </c>
    </row>
    <row r="592" spans="12:13" x14ac:dyDescent="0.3">
      <c r="L592">
        <v>580</v>
      </c>
      <c r="M592" s="13">
        <v>114437.71948078377</v>
      </c>
    </row>
    <row r="593" spans="12:13" x14ac:dyDescent="0.3">
      <c r="L593">
        <v>581</v>
      </c>
      <c r="M593" s="13">
        <v>161221.28689756957</v>
      </c>
    </row>
    <row r="594" spans="12:13" x14ac:dyDescent="0.3">
      <c r="L594">
        <v>582</v>
      </c>
      <c r="M594" s="13">
        <v>156800.94999016577</v>
      </c>
    </row>
    <row r="595" spans="12:13" x14ac:dyDescent="0.3">
      <c r="L595">
        <v>583</v>
      </c>
      <c r="M595" s="13">
        <v>119943.1126952777</v>
      </c>
    </row>
    <row r="596" spans="12:13" x14ac:dyDescent="0.3">
      <c r="L596">
        <v>584</v>
      </c>
      <c r="M596" s="13">
        <v>110663.07192710356</v>
      </c>
    </row>
    <row r="597" spans="12:13" x14ac:dyDescent="0.3">
      <c r="L597">
        <v>585</v>
      </c>
      <c r="M597" s="13">
        <v>97608.630995995889</v>
      </c>
    </row>
    <row r="598" spans="12:13" x14ac:dyDescent="0.3">
      <c r="L598">
        <v>586</v>
      </c>
      <c r="M598" s="13">
        <v>161097.55275972612</v>
      </c>
    </row>
    <row r="599" spans="12:13" x14ac:dyDescent="0.3">
      <c r="L599">
        <v>587</v>
      </c>
      <c r="M599" s="13">
        <v>97186.05589264349</v>
      </c>
    </row>
    <row r="600" spans="12:13" x14ac:dyDescent="0.3">
      <c r="L600">
        <v>588</v>
      </c>
      <c r="M600" s="13">
        <v>215769.74965604811</v>
      </c>
    </row>
    <row r="601" spans="12:13" x14ac:dyDescent="0.3">
      <c r="L601">
        <v>589</v>
      </c>
      <c r="M601" s="13">
        <v>159116.32967473238</v>
      </c>
    </row>
    <row r="602" spans="12:13" x14ac:dyDescent="0.3">
      <c r="L602">
        <v>590</v>
      </c>
      <c r="M602" s="13">
        <v>134481.49767820741</v>
      </c>
    </row>
    <row r="603" spans="12:13" x14ac:dyDescent="0.3">
      <c r="L603">
        <v>591</v>
      </c>
      <c r="M603" s="13">
        <v>122714.69751454864</v>
      </c>
    </row>
    <row r="604" spans="12:13" x14ac:dyDescent="0.3">
      <c r="L604">
        <v>592</v>
      </c>
      <c r="M604" s="13">
        <v>176854.71475344064</v>
      </c>
    </row>
    <row r="605" spans="12:13" x14ac:dyDescent="0.3">
      <c r="L605">
        <v>593</v>
      </c>
      <c r="M605" s="13">
        <v>121794.1853413207</v>
      </c>
    </row>
    <row r="606" spans="12:13" x14ac:dyDescent="0.3">
      <c r="L606">
        <v>594</v>
      </c>
      <c r="M606" s="13">
        <v>104302.05786394596</v>
      </c>
    </row>
    <row r="607" spans="12:13" x14ac:dyDescent="0.3">
      <c r="L607">
        <v>595</v>
      </c>
      <c r="M607" s="13">
        <v>102265.88716219124</v>
      </c>
    </row>
    <row r="608" spans="12:13" x14ac:dyDescent="0.3">
      <c r="L608">
        <v>596</v>
      </c>
      <c r="M608" s="13">
        <v>75735.970917749408</v>
      </c>
    </row>
    <row r="609" spans="12:13" x14ac:dyDescent="0.3">
      <c r="L609">
        <v>597</v>
      </c>
      <c r="M609" s="13">
        <v>79301.960022672109</v>
      </c>
    </row>
    <row r="610" spans="12:13" x14ac:dyDescent="0.3">
      <c r="L610">
        <v>598</v>
      </c>
      <c r="M610" s="13">
        <v>83494.775022889342</v>
      </c>
    </row>
    <row r="611" spans="12:13" x14ac:dyDescent="0.3">
      <c r="L611">
        <v>599</v>
      </c>
      <c r="M611" s="13">
        <v>156336.45402548573</v>
      </c>
    </row>
    <row r="612" spans="12:13" x14ac:dyDescent="0.3">
      <c r="L612">
        <v>600</v>
      </c>
      <c r="M612" s="13">
        <v>107526.29531371259</v>
      </c>
    </row>
    <row r="613" spans="12:13" x14ac:dyDescent="0.3">
      <c r="L613">
        <v>601</v>
      </c>
      <c r="M613" s="13">
        <v>68104.924886102934</v>
      </c>
    </row>
    <row r="614" spans="12:13" x14ac:dyDescent="0.3">
      <c r="L614">
        <v>602</v>
      </c>
      <c r="M614" s="13">
        <v>136896.0605988091</v>
      </c>
    </row>
    <row r="615" spans="12:13" x14ac:dyDescent="0.3">
      <c r="L615">
        <v>603</v>
      </c>
      <c r="M615" s="13">
        <v>61962.137019051064</v>
      </c>
    </row>
    <row r="616" spans="12:13" x14ac:dyDescent="0.3">
      <c r="L616">
        <v>604</v>
      </c>
      <c r="M616" s="13">
        <v>107366.55327457524</v>
      </c>
    </row>
    <row r="617" spans="12:13" x14ac:dyDescent="0.3">
      <c r="L617">
        <v>605</v>
      </c>
      <c r="M617" s="13">
        <v>144764.73177096181</v>
      </c>
    </row>
    <row r="618" spans="12:13" x14ac:dyDescent="0.3">
      <c r="L618">
        <v>606</v>
      </c>
      <c r="M618" s="13">
        <v>116802.20701233024</v>
      </c>
    </row>
    <row r="619" spans="12:13" x14ac:dyDescent="0.3">
      <c r="L619">
        <v>607</v>
      </c>
      <c r="M619" s="13">
        <v>137411.27086873777</v>
      </c>
    </row>
    <row r="620" spans="12:13" x14ac:dyDescent="0.3">
      <c r="L620">
        <v>608</v>
      </c>
      <c r="M620" s="13">
        <v>76801.349130156159</v>
      </c>
    </row>
    <row r="621" spans="12:13" x14ac:dyDescent="0.3">
      <c r="L621">
        <v>609</v>
      </c>
      <c r="M621" s="13">
        <v>92691.553294398822</v>
      </c>
    </row>
    <row r="622" spans="12:13" x14ac:dyDescent="0.3">
      <c r="L622">
        <v>610</v>
      </c>
      <c r="M622" s="13">
        <v>107879.64826821681</v>
      </c>
    </row>
    <row r="623" spans="12:13" x14ac:dyDescent="0.3">
      <c r="L623">
        <v>611</v>
      </c>
      <c r="M623" s="13">
        <v>161589.01997740692</v>
      </c>
    </row>
    <row r="624" spans="12:13" x14ac:dyDescent="0.3">
      <c r="L624">
        <v>612</v>
      </c>
      <c r="M624" s="13">
        <v>108046.81850482147</v>
      </c>
    </row>
    <row r="625" spans="12:13" x14ac:dyDescent="0.3">
      <c r="L625">
        <v>613</v>
      </c>
      <c r="M625" s="13">
        <v>55390.187522977154</v>
      </c>
    </row>
    <row r="626" spans="12:13" x14ac:dyDescent="0.3">
      <c r="L626">
        <v>614</v>
      </c>
      <c r="M626" s="13">
        <v>129145.08546911235</v>
      </c>
    </row>
    <row r="627" spans="12:13" x14ac:dyDescent="0.3">
      <c r="L627">
        <v>615</v>
      </c>
      <c r="M627" s="13">
        <v>101205.0395888045</v>
      </c>
    </row>
    <row r="628" spans="12:13" x14ac:dyDescent="0.3">
      <c r="L628">
        <v>616</v>
      </c>
      <c r="M628" s="13">
        <v>51981.036849195494</v>
      </c>
    </row>
    <row r="629" spans="12:13" x14ac:dyDescent="0.3">
      <c r="L629">
        <v>617</v>
      </c>
      <c r="M629" s="13">
        <v>99918.195897701225</v>
      </c>
    </row>
    <row r="630" spans="12:13" x14ac:dyDescent="0.3">
      <c r="L630">
        <v>618</v>
      </c>
      <c r="M630" s="13">
        <v>99024.184061146458</v>
      </c>
    </row>
    <row r="631" spans="12:13" x14ac:dyDescent="0.3">
      <c r="L631">
        <v>619</v>
      </c>
      <c r="M631" s="13">
        <v>89423.273690760616</v>
      </c>
    </row>
    <row r="632" spans="12:13" x14ac:dyDescent="0.3">
      <c r="L632">
        <v>620</v>
      </c>
      <c r="M632" s="13">
        <v>111322.27682566116</v>
      </c>
    </row>
    <row r="633" spans="12:13" x14ac:dyDescent="0.3">
      <c r="L633">
        <v>621</v>
      </c>
      <c r="M633" s="13">
        <v>85688.765159648232</v>
      </c>
    </row>
    <row r="634" spans="12:13" x14ac:dyDescent="0.3">
      <c r="L634">
        <v>622</v>
      </c>
      <c r="M634" s="13">
        <v>89281.238197369938</v>
      </c>
    </row>
    <row r="635" spans="12:13" x14ac:dyDescent="0.3">
      <c r="L635">
        <v>623</v>
      </c>
      <c r="M635" s="13">
        <v>109669.95260603353</v>
      </c>
    </row>
    <row r="636" spans="12:13" x14ac:dyDescent="0.3">
      <c r="L636">
        <v>624</v>
      </c>
      <c r="M636" s="13">
        <v>101381.94574601224</v>
      </c>
    </row>
    <row r="637" spans="12:13" x14ac:dyDescent="0.3">
      <c r="L637">
        <v>625</v>
      </c>
      <c r="M637" s="13">
        <v>111610.42157162461</v>
      </c>
    </row>
    <row r="638" spans="12:13" x14ac:dyDescent="0.3">
      <c r="L638">
        <v>626</v>
      </c>
      <c r="M638" s="13">
        <v>189167.76767243739</v>
      </c>
    </row>
    <row r="639" spans="12:13" x14ac:dyDescent="0.3">
      <c r="L639">
        <v>627</v>
      </c>
      <c r="M639" s="13">
        <v>88416.900209519605</v>
      </c>
    </row>
    <row r="640" spans="12:13" x14ac:dyDescent="0.3">
      <c r="L640">
        <v>628</v>
      </c>
      <c r="M640" s="13">
        <v>130995.298200718</v>
      </c>
    </row>
    <row r="641" spans="12:13" x14ac:dyDescent="0.3">
      <c r="L641">
        <v>629</v>
      </c>
      <c r="M641" s="13">
        <v>98448.108883747205</v>
      </c>
    </row>
    <row r="642" spans="12:13" x14ac:dyDescent="0.3">
      <c r="L642">
        <v>630</v>
      </c>
      <c r="M642" s="13">
        <v>74126.408952147525</v>
      </c>
    </row>
    <row r="643" spans="12:13" x14ac:dyDescent="0.3">
      <c r="L643">
        <v>631</v>
      </c>
      <c r="M643" s="13">
        <v>108026.35619997137</v>
      </c>
    </row>
    <row r="644" spans="12:13" x14ac:dyDescent="0.3">
      <c r="L644">
        <v>632</v>
      </c>
      <c r="M644" s="13">
        <v>79899.692799263648</v>
      </c>
    </row>
    <row r="645" spans="12:13" x14ac:dyDescent="0.3">
      <c r="L645">
        <v>633</v>
      </c>
      <c r="M645" s="13">
        <v>78142.590224981686</v>
      </c>
    </row>
    <row r="646" spans="12:13" x14ac:dyDescent="0.3">
      <c r="L646">
        <v>634</v>
      </c>
      <c r="M646" s="13">
        <v>96735.468611045915</v>
      </c>
    </row>
    <row r="647" spans="12:13" x14ac:dyDescent="0.3">
      <c r="L647">
        <v>635</v>
      </c>
      <c r="M647" s="13">
        <v>166632.27446089548</v>
      </c>
    </row>
    <row r="648" spans="12:13" x14ac:dyDescent="0.3">
      <c r="L648">
        <v>636</v>
      </c>
      <c r="M648" s="13">
        <v>126449.8262505859</v>
      </c>
    </row>
    <row r="649" spans="12:13" x14ac:dyDescent="0.3">
      <c r="L649">
        <v>637</v>
      </c>
      <c r="M649" s="13">
        <v>181911.77018094622</v>
      </c>
    </row>
    <row r="650" spans="12:13" x14ac:dyDescent="0.3">
      <c r="L650">
        <v>638</v>
      </c>
      <c r="M650" s="13">
        <v>100154.12383487463</v>
      </c>
    </row>
    <row r="651" spans="12:13" x14ac:dyDescent="0.3">
      <c r="L651">
        <v>639</v>
      </c>
      <c r="M651" s="13">
        <v>161358.31748285863</v>
      </c>
    </row>
    <row r="652" spans="12:13" x14ac:dyDescent="0.3">
      <c r="L652">
        <v>640</v>
      </c>
      <c r="M652" s="13">
        <v>163504.17841466566</v>
      </c>
    </row>
    <row r="653" spans="12:13" x14ac:dyDescent="0.3">
      <c r="L653">
        <v>641</v>
      </c>
      <c r="M653" s="13">
        <v>143799.37522292673</v>
      </c>
    </row>
    <row r="654" spans="12:13" x14ac:dyDescent="0.3">
      <c r="L654">
        <v>642</v>
      </c>
      <c r="M654" s="13">
        <v>101509.17296857527</v>
      </c>
    </row>
    <row r="655" spans="12:13" x14ac:dyDescent="0.3">
      <c r="L655">
        <v>643</v>
      </c>
      <c r="M655" s="13">
        <v>207524.86213382732</v>
      </c>
    </row>
    <row r="656" spans="12:13" x14ac:dyDescent="0.3">
      <c r="L656">
        <v>644</v>
      </c>
      <c r="M656" s="13">
        <v>122400.08236264778</v>
      </c>
    </row>
    <row r="657" spans="12:13" x14ac:dyDescent="0.3">
      <c r="L657">
        <v>645</v>
      </c>
      <c r="M657" s="13">
        <v>164900.74736446366</v>
      </c>
    </row>
    <row r="658" spans="12:13" x14ac:dyDescent="0.3">
      <c r="L658">
        <v>646</v>
      </c>
      <c r="M658" s="13">
        <v>76225.904647651463</v>
      </c>
    </row>
    <row r="659" spans="12:13" x14ac:dyDescent="0.3">
      <c r="L659">
        <v>647</v>
      </c>
      <c r="M659" s="13">
        <v>82296.22887461404</v>
      </c>
    </row>
    <row r="660" spans="12:13" x14ac:dyDescent="0.3">
      <c r="L660">
        <v>648</v>
      </c>
      <c r="M660" s="13">
        <v>102928.32244100445</v>
      </c>
    </row>
    <row r="661" spans="12:13" x14ac:dyDescent="0.3">
      <c r="L661">
        <v>649</v>
      </c>
      <c r="M661" s="13">
        <v>76299.963564231613</v>
      </c>
    </row>
    <row r="662" spans="12:13" x14ac:dyDescent="0.3">
      <c r="L662">
        <v>650</v>
      </c>
      <c r="M662" s="13">
        <v>90111.442659714376</v>
      </c>
    </row>
    <row r="663" spans="12:13" x14ac:dyDescent="0.3">
      <c r="L663">
        <v>651</v>
      </c>
      <c r="M663" s="13">
        <v>79239.619709509279</v>
      </c>
    </row>
    <row r="664" spans="12:13" x14ac:dyDescent="0.3">
      <c r="L664">
        <v>652</v>
      </c>
      <c r="M664" s="13">
        <v>159691.46547158956</v>
      </c>
    </row>
    <row r="665" spans="12:13" x14ac:dyDescent="0.3">
      <c r="L665">
        <v>653</v>
      </c>
      <c r="M665" s="13">
        <v>80129.874520493642</v>
      </c>
    </row>
    <row r="666" spans="12:13" x14ac:dyDescent="0.3">
      <c r="L666">
        <v>654</v>
      </c>
      <c r="M666" s="13">
        <v>192311.21060412325</v>
      </c>
    </row>
    <row r="667" spans="12:13" x14ac:dyDescent="0.3">
      <c r="L667">
        <v>655</v>
      </c>
      <c r="M667" s="13">
        <v>74426.683649639832</v>
      </c>
    </row>
    <row r="668" spans="12:13" x14ac:dyDescent="0.3">
      <c r="L668">
        <v>656</v>
      </c>
      <c r="M668" s="13">
        <v>107764.76250880709</v>
      </c>
    </row>
    <row r="669" spans="12:13" x14ac:dyDescent="0.3">
      <c r="L669">
        <v>657</v>
      </c>
      <c r="M669" s="13">
        <v>121506.51368907181</v>
      </c>
    </row>
    <row r="670" spans="12:13" x14ac:dyDescent="0.3">
      <c r="L670">
        <v>658</v>
      </c>
      <c r="M670" s="13">
        <v>143839.75424709625</v>
      </c>
    </row>
    <row r="671" spans="12:13" x14ac:dyDescent="0.3">
      <c r="L671">
        <v>659</v>
      </c>
      <c r="M671" s="13">
        <v>67162.294906873212</v>
      </c>
    </row>
    <row r="672" spans="12:13" x14ac:dyDescent="0.3">
      <c r="L672">
        <v>660</v>
      </c>
      <c r="M672" s="13">
        <v>100232.20959512104</v>
      </c>
    </row>
    <row r="673" spans="12:13" x14ac:dyDescent="0.3">
      <c r="L673">
        <v>661</v>
      </c>
      <c r="M673" s="13">
        <v>138288.15097865305</v>
      </c>
    </row>
    <row r="674" spans="12:13" x14ac:dyDescent="0.3">
      <c r="L674">
        <v>662</v>
      </c>
      <c r="M674" s="13">
        <v>77426.559089472488</v>
      </c>
    </row>
    <row r="675" spans="12:13" x14ac:dyDescent="0.3">
      <c r="L675">
        <v>663</v>
      </c>
      <c r="M675" s="13">
        <v>60400.818086862622</v>
      </c>
    </row>
    <row r="676" spans="12:13" x14ac:dyDescent="0.3">
      <c r="L676">
        <v>664</v>
      </c>
      <c r="M676" s="13">
        <v>96864.224559199851</v>
      </c>
    </row>
    <row r="677" spans="12:13" x14ac:dyDescent="0.3">
      <c r="L677">
        <v>665</v>
      </c>
      <c r="M677" s="13">
        <v>127426.33206360671</v>
      </c>
    </row>
    <row r="678" spans="12:13" x14ac:dyDescent="0.3">
      <c r="L678">
        <v>666</v>
      </c>
      <c r="M678" s="13">
        <v>85913.894862985762</v>
      </c>
    </row>
    <row r="679" spans="12:13" x14ac:dyDescent="0.3">
      <c r="L679">
        <v>667</v>
      </c>
      <c r="M679" s="13">
        <v>157498.84814422808</v>
      </c>
    </row>
    <row r="680" spans="12:13" x14ac:dyDescent="0.3">
      <c r="L680">
        <v>668</v>
      </c>
      <c r="M680" s="13">
        <v>62603.939059150667</v>
      </c>
    </row>
    <row r="681" spans="12:13" x14ac:dyDescent="0.3">
      <c r="L681">
        <v>669</v>
      </c>
      <c r="M681" s="13">
        <v>83267.718891114826</v>
      </c>
    </row>
    <row r="682" spans="12:13" x14ac:dyDescent="0.3">
      <c r="L682">
        <v>670</v>
      </c>
      <c r="M682" s="13">
        <v>141455.91833534228</v>
      </c>
    </row>
    <row r="683" spans="12:13" x14ac:dyDescent="0.3">
      <c r="L683">
        <v>671</v>
      </c>
      <c r="M683" s="13">
        <v>116066.25594836046</v>
      </c>
    </row>
    <row r="684" spans="12:13" x14ac:dyDescent="0.3">
      <c r="L684">
        <v>672</v>
      </c>
      <c r="M684" s="13">
        <v>115069.66908362621</v>
      </c>
    </row>
    <row r="685" spans="12:13" x14ac:dyDescent="0.3">
      <c r="L685">
        <v>673</v>
      </c>
      <c r="M685" s="13">
        <v>107675.25846650173</v>
      </c>
    </row>
    <row r="686" spans="12:13" x14ac:dyDescent="0.3">
      <c r="L686">
        <v>674</v>
      </c>
      <c r="M686" s="13">
        <v>193319.23530186515</v>
      </c>
    </row>
    <row r="687" spans="12:13" x14ac:dyDescent="0.3">
      <c r="L687">
        <v>675</v>
      </c>
      <c r="M687" s="13">
        <v>79948.87749291661</v>
      </c>
    </row>
    <row r="688" spans="12:13" x14ac:dyDescent="0.3">
      <c r="L688">
        <v>676</v>
      </c>
      <c r="M688" s="13">
        <v>136190.54662565319</v>
      </c>
    </row>
    <row r="689" spans="12:13" x14ac:dyDescent="0.3">
      <c r="L689">
        <v>677</v>
      </c>
      <c r="M689" s="13">
        <v>167554.28282495838</v>
      </c>
    </row>
    <row r="690" spans="12:13" x14ac:dyDescent="0.3">
      <c r="L690">
        <v>678</v>
      </c>
      <c r="M690" s="13">
        <v>99691.472090813753</v>
      </c>
    </row>
    <row r="691" spans="12:13" x14ac:dyDescent="0.3">
      <c r="L691">
        <v>679</v>
      </c>
      <c r="M691" s="13">
        <v>98438.871409626037</v>
      </c>
    </row>
    <row r="692" spans="12:13" x14ac:dyDescent="0.3">
      <c r="L692">
        <v>680</v>
      </c>
      <c r="M692" s="13">
        <v>114171.3192562855</v>
      </c>
    </row>
    <row r="693" spans="12:13" x14ac:dyDescent="0.3">
      <c r="L693">
        <v>681</v>
      </c>
      <c r="M693" s="13">
        <v>81744.8462201324</v>
      </c>
    </row>
    <row r="694" spans="12:13" x14ac:dyDescent="0.3">
      <c r="L694">
        <v>682</v>
      </c>
      <c r="M694" s="13">
        <v>139482.06337426259</v>
      </c>
    </row>
    <row r="695" spans="12:13" x14ac:dyDescent="0.3">
      <c r="L695">
        <v>683</v>
      </c>
      <c r="M695" s="13">
        <v>62857.403324676896</v>
      </c>
    </row>
    <row r="696" spans="12:13" x14ac:dyDescent="0.3">
      <c r="L696">
        <v>684</v>
      </c>
      <c r="M696" s="13">
        <v>73858.550295080669</v>
      </c>
    </row>
    <row r="697" spans="12:13" x14ac:dyDescent="0.3">
      <c r="L697">
        <v>685</v>
      </c>
      <c r="M697" s="13">
        <v>140987.52205067931</v>
      </c>
    </row>
    <row r="698" spans="12:13" x14ac:dyDescent="0.3">
      <c r="L698">
        <v>686</v>
      </c>
      <c r="M698" s="13">
        <v>69766.142675337236</v>
      </c>
    </row>
    <row r="699" spans="12:13" x14ac:dyDescent="0.3">
      <c r="L699">
        <v>687</v>
      </c>
      <c r="M699" s="13">
        <v>81935.696330808016</v>
      </c>
    </row>
    <row r="700" spans="12:13" x14ac:dyDescent="0.3">
      <c r="L700">
        <v>688</v>
      </c>
      <c r="M700" s="13">
        <v>111219.74962868236</v>
      </c>
    </row>
    <row r="701" spans="12:13" x14ac:dyDescent="0.3">
      <c r="L701">
        <v>689</v>
      </c>
      <c r="M701" s="13">
        <v>111235.72311663066</v>
      </c>
    </row>
    <row r="702" spans="12:13" x14ac:dyDescent="0.3">
      <c r="L702">
        <v>690</v>
      </c>
      <c r="M702" s="13">
        <v>152419.68677041426</v>
      </c>
    </row>
    <row r="703" spans="12:13" x14ac:dyDescent="0.3">
      <c r="L703">
        <v>691</v>
      </c>
      <c r="M703" s="13">
        <v>95523.661791203514</v>
      </c>
    </row>
    <row r="704" spans="12:13" x14ac:dyDescent="0.3">
      <c r="L704">
        <v>692</v>
      </c>
      <c r="M704" s="13">
        <v>111174.32893559846</v>
      </c>
    </row>
    <row r="705" spans="12:13" x14ac:dyDescent="0.3">
      <c r="L705">
        <v>693</v>
      </c>
      <c r="M705" s="13">
        <v>172809.194855771</v>
      </c>
    </row>
    <row r="706" spans="12:13" x14ac:dyDescent="0.3">
      <c r="L706">
        <v>694</v>
      </c>
      <c r="M706" s="13">
        <v>111044.17393083754</v>
      </c>
    </row>
    <row r="707" spans="12:13" x14ac:dyDescent="0.3">
      <c r="L707">
        <v>695</v>
      </c>
      <c r="M707" s="13">
        <v>142308.92407481922</v>
      </c>
    </row>
    <row r="708" spans="12:13" x14ac:dyDescent="0.3">
      <c r="L708">
        <v>696</v>
      </c>
      <c r="M708" s="13">
        <v>75857.06243103923</v>
      </c>
    </row>
    <row r="709" spans="12:13" x14ac:dyDescent="0.3">
      <c r="L709">
        <v>697</v>
      </c>
      <c r="M709" s="13">
        <v>78193.44419764026</v>
      </c>
    </row>
    <row r="710" spans="12:13" x14ac:dyDescent="0.3">
      <c r="L710">
        <v>698</v>
      </c>
      <c r="M710" s="13">
        <v>110109.29216241467</v>
      </c>
    </row>
    <row r="711" spans="12:13" x14ac:dyDescent="0.3">
      <c r="L711">
        <v>699</v>
      </c>
      <c r="M711" s="13">
        <v>124451.11313141344</v>
      </c>
    </row>
    <row r="712" spans="12:13" x14ac:dyDescent="0.3">
      <c r="L712">
        <v>700</v>
      </c>
      <c r="M712" s="13">
        <v>182310.73080109089</v>
      </c>
    </row>
    <row r="713" spans="12:13" x14ac:dyDescent="0.3">
      <c r="L713">
        <v>701</v>
      </c>
      <c r="M713" s="13">
        <v>98021.1765989493</v>
      </c>
    </row>
    <row r="714" spans="12:13" x14ac:dyDescent="0.3">
      <c r="L714">
        <v>702</v>
      </c>
      <c r="M714" s="13">
        <v>87225.603314178676</v>
      </c>
    </row>
    <row r="715" spans="12:13" x14ac:dyDescent="0.3">
      <c r="L715">
        <v>703</v>
      </c>
      <c r="M715" s="13">
        <v>148639.18893207889</v>
      </c>
    </row>
    <row r="716" spans="12:13" x14ac:dyDescent="0.3">
      <c r="L716">
        <v>704</v>
      </c>
      <c r="M716" s="13">
        <v>104164.81329909814</v>
      </c>
    </row>
    <row r="717" spans="12:13" x14ac:dyDescent="0.3">
      <c r="L717">
        <v>705</v>
      </c>
      <c r="M717" s="13">
        <v>57513.57313604762</v>
      </c>
    </row>
    <row r="718" spans="12:13" x14ac:dyDescent="0.3">
      <c r="L718">
        <v>706</v>
      </c>
      <c r="M718" s="13">
        <v>248351.21318586456</v>
      </c>
    </row>
    <row r="719" spans="12:13" x14ac:dyDescent="0.3">
      <c r="L719">
        <v>707</v>
      </c>
      <c r="M719" s="13">
        <v>77192.205494350434</v>
      </c>
    </row>
    <row r="720" spans="12:13" x14ac:dyDescent="0.3">
      <c r="L720">
        <v>708</v>
      </c>
      <c r="M720" s="13">
        <v>42402.575187347451</v>
      </c>
    </row>
    <row r="721" spans="12:13" x14ac:dyDescent="0.3">
      <c r="L721">
        <v>709</v>
      </c>
      <c r="M721" s="13">
        <v>123152.19393360161</v>
      </c>
    </row>
    <row r="722" spans="12:13" x14ac:dyDescent="0.3">
      <c r="L722">
        <v>710</v>
      </c>
      <c r="M722" s="13">
        <v>49035.954665877289</v>
      </c>
    </row>
    <row r="723" spans="12:13" x14ac:dyDescent="0.3">
      <c r="L723">
        <v>711</v>
      </c>
      <c r="M723" s="13">
        <v>119031.66700707062</v>
      </c>
    </row>
    <row r="724" spans="12:13" x14ac:dyDescent="0.3">
      <c r="L724">
        <v>712</v>
      </c>
      <c r="M724" s="13">
        <v>108212.43025435045</v>
      </c>
    </row>
    <row r="725" spans="12:13" x14ac:dyDescent="0.3">
      <c r="L725">
        <v>713</v>
      </c>
      <c r="M725" s="13">
        <v>89976.138127166399</v>
      </c>
    </row>
    <row r="726" spans="12:13" x14ac:dyDescent="0.3">
      <c r="L726">
        <v>714</v>
      </c>
      <c r="M726" s="13">
        <v>186645.41697637225</v>
      </c>
    </row>
    <row r="727" spans="12:13" x14ac:dyDescent="0.3">
      <c r="L727">
        <v>715</v>
      </c>
      <c r="M727" s="13">
        <v>139674.82003144702</v>
      </c>
    </row>
    <row r="728" spans="12:13" x14ac:dyDescent="0.3">
      <c r="L728">
        <v>716</v>
      </c>
      <c r="M728" s="13">
        <v>100599.75019274038</v>
      </c>
    </row>
    <row r="729" spans="12:13" x14ac:dyDescent="0.3">
      <c r="L729">
        <v>717</v>
      </c>
      <c r="M729" s="13">
        <v>93382.95643754577</v>
      </c>
    </row>
    <row r="730" spans="12:13" x14ac:dyDescent="0.3">
      <c r="L730">
        <v>718</v>
      </c>
      <c r="M730" s="13">
        <v>90658.713422064728</v>
      </c>
    </row>
    <row r="731" spans="12:13" x14ac:dyDescent="0.3">
      <c r="L731">
        <v>719</v>
      </c>
      <c r="M731" s="13">
        <v>133579.27646741021</v>
      </c>
    </row>
    <row r="732" spans="12:13" x14ac:dyDescent="0.3">
      <c r="L732">
        <v>720</v>
      </c>
      <c r="M732" s="13">
        <v>129431.87981163463</v>
      </c>
    </row>
    <row r="733" spans="12:13" x14ac:dyDescent="0.3">
      <c r="L733">
        <v>721</v>
      </c>
      <c r="M733" s="13">
        <v>153134.59768476963</v>
      </c>
    </row>
    <row r="734" spans="12:13" x14ac:dyDescent="0.3">
      <c r="L734">
        <v>722</v>
      </c>
      <c r="M734" s="13">
        <v>134565.18833921358</v>
      </c>
    </row>
    <row r="735" spans="12:13" x14ac:dyDescent="0.3">
      <c r="L735">
        <v>723</v>
      </c>
      <c r="M735" s="13">
        <v>116998.88227920388</v>
      </c>
    </row>
    <row r="736" spans="12:13" x14ac:dyDescent="0.3">
      <c r="L736">
        <v>724</v>
      </c>
      <c r="M736" s="13">
        <v>89731.788856975181</v>
      </c>
    </row>
    <row r="737" spans="12:13" x14ac:dyDescent="0.3">
      <c r="L737">
        <v>725</v>
      </c>
      <c r="M737" s="13">
        <v>132328.52750248017</v>
      </c>
    </row>
    <row r="738" spans="12:13" x14ac:dyDescent="0.3">
      <c r="L738">
        <v>726</v>
      </c>
      <c r="M738" s="13">
        <v>75612.483703209204</v>
      </c>
    </row>
    <row r="739" spans="12:13" x14ac:dyDescent="0.3">
      <c r="L739">
        <v>727</v>
      </c>
      <c r="M739" s="13">
        <v>178733.1027632578</v>
      </c>
    </row>
    <row r="740" spans="12:13" x14ac:dyDescent="0.3">
      <c r="L740">
        <v>728</v>
      </c>
      <c r="M740" s="13">
        <v>179490.37219578371</v>
      </c>
    </row>
    <row r="741" spans="12:13" x14ac:dyDescent="0.3">
      <c r="L741">
        <v>729</v>
      </c>
      <c r="M741" s="13">
        <v>119976.37174746237</v>
      </c>
    </row>
    <row r="742" spans="12:13" x14ac:dyDescent="0.3">
      <c r="L742">
        <v>730</v>
      </c>
      <c r="M742" s="13">
        <v>73555.740737537461</v>
      </c>
    </row>
    <row r="743" spans="12:13" x14ac:dyDescent="0.3">
      <c r="L743">
        <v>731</v>
      </c>
      <c r="M743" s="13">
        <v>96737.387389445721</v>
      </c>
    </row>
    <row r="744" spans="12:13" x14ac:dyDescent="0.3">
      <c r="L744">
        <v>732</v>
      </c>
      <c r="M744" s="13">
        <v>78938.662439288135</v>
      </c>
    </row>
    <row r="745" spans="12:13" x14ac:dyDescent="0.3">
      <c r="L745">
        <v>733</v>
      </c>
      <c r="M745" s="13">
        <v>134554.97011121904</v>
      </c>
    </row>
    <row r="746" spans="12:13" x14ac:dyDescent="0.3">
      <c r="L746">
        <v>734</v>
      </c>
      <c r="M746" s="13">
        <v>74168.778983744676</v>
      </c>
    </row>
    <row r="747" spans="12:13" x14ac:dyDescent="0.3">
      <c r="L747">
        <v>735</v>
      </c>
      <c r="M747" s="13">
        <v>109529.63016133121</v>
      </c>
    </row>
    <row r="748" spans="12:13" x14ac:dyDescent="0.3">
      <c r="L748">
        <v>736</v>
      </c>
      <c r="M748" s="13">
        <v>178333.85188037512</v>
      </c>
    </row>
    <row r="749" spans="12:13" x14ac:dyDescent="0.3">
      <c r="L749">
        <v>737</v>
      </c>
      <c r="M749" s="13">
        <v>123587.19031530648</v>
      </c>
    </row>
    <row r="750" spans="12:13" x14ac:dyDescent="0.3">
      <c r="L750">
        <v>738</v>
      </c>
      <c r="M750" s="13">
        <v>99354.973044904706</v>
      </c>
    </row>
    <row r="751" spans="12:13" x14ac:dyDescent="0.3">
      <c r="L751">
        <v>739</v>
      </c>
      <c r="M751" s="13">
        <v>71785.05901803881</v>
      </c>
    </row>
    <row r="752" spans="12:13" x14ac:dyDescent="0.3">
      <c r="L752">
        <v>740</v>
      </c>
      <c r="M752" s="13">
        <v>149994.87795238741</v>
      </c>
    </row>
    <row r="753" spans="12:13" x14ac:dyDescent="0.3">
      <c r="L753">
        <v>741</v>
      </c>
      <c r="M753" s="13">
        <v>113365.42901246484</v>
      </c>
    </row>
    <row r="754" spans="12:13" x14ac:dyDescent="0.3">
      <c r="L754">
        <v>742</v>
      </c>
      <c r="M754" s="13">
        <v>64790.370762915089</v>
      </c>
    </row>
    <row r="755" spans="12:13" x14ac:dyDescent="0.3">
      <c r="L755">
        <v>743</v>
      </c>
      <c r="M755" s="13">
        <v>116010.59659777544</v>
      </c>
    </row>
    <row r="756" spans="12:13" x14ac:dyDescent="0.3">
      <c r="L756">
        <v>744</v>
      </c>
      <c r="M756" s="13">
        <v>127045.81014264838</v>
      </c>
    </row>
    <row r="757" spans="12:13" x14ac:dyDescent="0.3">
      <c r="L757">
        <v>745</v>
      </c>
      <c r="M757" s="13">
        <v>92269.424597229285</v>
      </c>
    </row>
    <row r="758" spans="12:13" x14ac:dyDescent="0.3">
      <c r="L758">
        <v>746</v>
      </c>
      <c r="M758" s="13">
        <v>84069.710136682465</v>
      </c>
    </row>
    <row r="759" spans="12:13" x14ac:dyDescent="0.3">
      <c r="L759">
        <v>747</v>
      </c>
      <c r="M759" s="13">
        <v>104927.86718387331</v>
      </c>
    </row>
    <row r="760" spans="12:13" x14ac:dyDescent="0.3">
      <c r="L760">
        <v>748</v>
      </c>
      <c r="M760" s="13">
        <v>110310.35433928331</v>
      </c>
    </row>
    <row r="761" spans="12:13" x14ac:dyDescent="0.3">
      <c r="L761">
        <v>749</v>
      </c>
      <c r="M761" s="13">
        <v>74152.532088456792</v>
      </c>
    </row>
    <row r="762" spans="12:13" x14ac:dyDescent="0.3">
      <c r="L762">
        <v>750</v>
      </c>
      <c r="M762" s="13">
        <v>127233.42399932689</v>
      </c>
    </row>
    <row r="763" spans="12:13" x14ac:dyDescent="0.3">
      <c r="L763">
        <v>751</v>
      </c>
      <c r="M763" s="13">
        <v>122688.96579886824</v>
      </c>
    </row>
    <row r="764" spans="12:13" x14ac:dyDescent="0.3">
      <c r="L764">
        <v>752</v>
      </c>
      <c r="M764" s="13">
        <v>168935.7776984408</v>
      </c>
    </row>
    <row r="765" spans="12:13" x14ac:dyDescent="0.3">
      <c r="L765">
        <v>753</v>
      </c>
      <c r="M765" s="13">
        <v>136313.62189634569</v>
      </c>
    </row>
    <row r="766" spans="12:13" x14ac:dyDescent="0.3">
      <c r="L766">
        <v>754</v>
      </c>
      <c r="M766" s="13">
        <v>60280.885880304326</v>
      </c>
    </row>
    <row r="767" spans="12:13" x14ac:dyDescent="0.3">
      <c r="L767">
        <v>755</v>
      </c>
      <c r="M767" s="13">
        <v>96221.982542349666</v>
      </c>
    </row>
    <row r="768" spans="12:13" x14ac:dyDescent="0.3">
      <c r="L768">
        <v>756</v>
      </c>
      <c r="M768" s="13">
        <v>127614.4808452077</v>
      </c>
    </row>
    <row r="769" spans="12:13" x14ac:dyDescent="0.3">
      <c r="L769">
        <v>757</v>
      </c>
      <c r="M769" s="13">
        <v>134469.06622979502</v>
      </c>
    </row>
    <row r="770" spans="12:13" x14ac:dyDescent="0.3">
      <c r="L770">
        <v>758</v>
      </c>
      <c r="M770" s="13">
        <v>93723.046247656777</v>
      </c>
    </row>
    <row r="771" spans="12:13" x14ac:dyDescent="0.3">
      <c r="L771">
        <v>759</v>
      </c>
      <c r="M771" s="13">
        <v>48018.048692896678</v>
      </c>
    </row>
    <row r="772" spans="12:13" x14ac:dyDescent="0.3">
      <c r="L772">
        <v>760</v>
      </c>
      <c r="M772" s="13">
        <v>69664.910566187027</v>
      </c>
    </row>
    <row r="773" spans="12:13" x14ac:dyDescent="0.3">
      <c r="L773">
        <v>761</v>
      </c>
      <c r="M773" s="13">
        <v>96405.075618062619</v>
      </c>
    </row>
    <row r="774" spans="12:13" x14ac:dyDescent="0.3">
      <c r="L774">
        <v>762</v>
      </c>
      <c r="M774" s="13">
        <v>120842.95723584029</v>
      </c>
    </row>
    <row r="775" spans="12:13" x14ac:dyDescent="0.3">
      <c r="L775">
        <v>763</v>
      </c>
      <c r="M775" s="13">
        <v>115357.77302085116</v>
      </c>
    </row>
    <row r="776" spans="12:13" x14ac:dyDescent="0.3">
      <c r="L776">
        <v>764</v>
      </c>
      <c r="M776" s="13">
        <v>154809.05016694678</v>
      </c>
    </row>
    <row r="777" spans="12:13" x14ac:dyDescent="0.3">
      <c r="L777">
        <v>765</v>
      </c>
      <c r="M777" s="13">
        <v>133359.02368232486</v>
      </c>
    </row>
    <row r="778" spans="12:13" x14ac:dyDescent="0.3">
      <c r="L778">
        <v>766</v>
      </c>
      <c r="M778" s="13">
        <v>75490.208611835289</v>
      </c>
    </row>
    <row r="779" spans="12:13" x14ac:dyDescent="0.3">
      <c r="L779">
        <v>767</v>
      </c>
      <c r="M779" s="13">
        <v>83904.311988322195</v>
      </c>
    </row>
    <row r="780" spans="12:13" x14ac:dyDescent="0.3">
      <c r="L780">
        <v>768</v>
      </c>
      <c r="M780" s="13">
        <v>99334.997208657354</v>
      </c>
    </row>
    <row r="781" spans="12:13" x14ac:dyDescent="0.3">
      <c r="L781">
        <v>769</v>
      </c>
      <c r="M781" s="13">
        <v>106291.91001171549</v>
      </c>
    </row>
    <row r="782" spans="12:13" x14ac:dyDescent="0.3">
      <c r="L782">
        <v>770</v>
      </c>
      <c r="M782" s="13">
        <v>35240.406143370579</v>
      </c>
    </row>
    <row r="783" spans="12:13" x14ac:dyDescent="0.3">
      <c r="L783">
        <v>771</v>
      </c>
      <c r="M783" s="13">
        <v>160029.61658129774</v>
      </c>
    </row>
    <row r="784" spans="12:13" x14ac:dyDescent="0.3">
      <c r="L784">
        <v>772</v>
      </c>
      <c r="M784" s="13">
        <v>91791.055203911441</v>
      </c>
    </row>
    <row r="785" spans="12:13" x14ac:dyDescent="0.3">
      <c r="L785">
        <v>773</v>
      </c>
      <c r="M785" s="13">
        <v>164696.02794032742</v>
      </c>
    </row>
    <row r="786" spans="12:13" x14ac:dyDescent="0.3">
      <c r="L786">
        <v>774</v>
      </c>
      <c r="M786" s="13">
        <v>137091.54022352668</v>
      </c>
    </row>
    <row r="787" spans="12:13" x14ac:dyDescent="0.3">
      <c r="L787">
        <v>775</v>
      </c>
      <c r="M787" s="13">
        <v>88130.085428489023</v>
      </c>
    </row>
    <row r="788" spans="12:13" x14ac:dyDescent="0.3">
      <c r="L788">
        <v>776</v>
      </c>
      <c r="M788" s="13">
        <v>84780.873379384342</v>
      </c>
    </row>
    <row r="789" spans="12:13" x14ac:dyDescent="0.3">
      <c r="L789">
        <v>777</v>
      </c>
      <c r="M789" s="13">
        <v>130006.77627842093</v>
      </c>
    </row>
    <row r="790" spans="12:13" x14ac:dyDescent="0.3">
      <c r="L790">
        <v>778</v>
      </c>
      <c r="M790" s="13">
        <v>110975.2288735545</v>
      </c>
    </row>
    <row r="791" spans="12:13" x14ac:dyDescent="0.3">
      <c r="L791">
        <v>779</v>
      </c>
      <c r="M791" s="13">
        <v>112542.76476932684</v>
      </c>
    </row>
    <row r="792" spans="12:13" x14ac:dyDescent="0.3">
      <c r="L792">
        <v>780</v>
      </c>
      <c r="M792" s="13">
        <v>134284.5625696686</v>
      </c>
    </row>
    <row r="793" spans="12:13" x14ac:dyDescent="0.3">
      <c r="L793">
        <v>781</v>
      </c>
      <c r="M793" s="13">
        <v>78937.815475618598</v>
      </c>
    </row>
    <row r="794" spans="12:13" x14ac:dyDescent="0.3">
      <c r="L794">
        <v>782</v>
      </c>
      <c r="M794" s="13">
        <v>112280.60368433126</v>
      </c>
    </row>
    <row r="795" spans="12:13" x14ac:dyDescent="0.3">
      <c r="L795">
        <v>783</v>
      </c>
      <c r="M795" s="13">
        <v>150921.71876232699</v>
      </c>
    </row>
    <row r="796" spans="12:13" x14ac:dyDescent="0.3">
      <c r="L796">
        <v>784</v>
      </c>
      <c r="M796" s="13">
        <v>98666.432023103087</v>
      </c>
    </row>
    <row r="797" spans="12:13" x14ac:dyDescent="0.3">
      <c r="L797">
        <v>785</v>
      </c>
      <c r="M797" s="13">
        <v>72062.610161945282</v>
      </c>
    </row>
    <row r="798" spans="12:13" x14ac:dyDescent="0.3">
      <c r="L798">
        <v>786</v>
      </c>
      <c r="M798" s="13">
        <v>128391.55408137545</v>
      </c>
    </row>
    <row r="799" spans="12:13" x14ac:dyDescent="0.3">
      <c r="L799">
        <v>787</v>
      </c>
      <c r="M799" s="13">
        <v>155116.97298375264</v>
      </c>
    </row>
    <row r="800" spans="12:13" x14ac:dyDescent="0.3">
      <c r="L800">
        <v>788</v>
      </c>
      <c r="M800" s="13">
        <v>117668.75391996271</v>
      </c>
    </row>
    <row r="801" spans="12:13" x14ac:dyDescent="0.3">
      <c r="L801">
        <v>789</v>
      </c>
      <c r="M801" s="13">
        <v>142908.39642173066</v>
      </c>
    </row>
    <row r="802" spans="12:13" x14ac:dyDescent="0.3">
      <c r="L802">
        <v>790</v>
      </c>
      <c r="M802" s="13">
        <v>170524.87704476205</v>
      </c>
    </row>
    <row r="803" spans="12:13" x14ac:dyDescent="0.3">
      <c r="L803">
        <v>791</v>
      </c>
      <c r="M803" s="13">
        <v>163824.21240917724</v>
      </c>
    </row>
    <row r="804" spans="12:13" x14ac:dyDescent="0.3">
      <c r="L804">
        <v>792</v>
      </c>
      <c r="M804" s="13">
        <v>72034.024204786081</v>
      </c>
    </row>
    <row r="805" spans="12:13" x14ac:dyDescent="0.3">
      <c r="L805">
        <v>793</v>
      </c>
      <c r="M805" s="13">
        <v>103462.99138029371</v>
      </c>
    </row>
    <row r="806" spans="12:13" x14ac:dyDescent="0.3">
      <c r="L806">
        <v>794</v>
      </c>
      <c r="M806" s="13">
        <v>125027.15173456847</v>
      </c>
    </row>
    <row r="807" spans="12:13" x14ac:dyDescent="0.3">
      <c r="L807">
        <v>795</v>
      </c>
      <c r="M807" s="13">
        <v>64934.10530829092</v>
      </c>
    </row>
    <row r="808" spans="12:13" x14ac:dyDescent="0.3">
      <c r="L808">
        <v>796</v>
      </c>
      <c r="M808" s="13">
        <v>88383.064302895393</v>
      </c>
    </row>
    <row r="809" spans="12:13" x14ac:dyDescent="0.3">
      <c r="L809">
        <v>797</v>
      </c>
      <c r="M809" s="13">
        <v>130848.79677333284</v>
      </c>
    </row>
    <row r="810" spans="12:13" x14ac:dyDescent="0.3">
      <c r="L810">
        <v>798</v>
      </c>
      <c r="M810" s="13">
        <v>83786.878970190359</v>
      </c>
    </row>
    <row r="811" spans="12:13" x14ac:dyDescent="0.3">
      <c r="L811">
        <v>799</v>
      </c>
      <c r="M811" s="13">
        <v>122461.29921469343</v>
      </c>
    </row>
    <row r="812" spans="12:13" x14ac:dyDescent="0.3">
      <c r="L812">
        <v>800</v>
      </c>
      <c r="M812" s="13">
        <v>101872.12313353168</v>
      </c>
    </row>
    <row r="813" spans="12:13" x14ac:dyDescent="0.3">
      <c r="L813">
        <v>801</v>
      </c>
      <c r="M813" s="13">
        <v>145926.35544718153</v>
      </c>
    </row>
    <row r="814" spans="12:13" x14ac:dyDescent="0.3">
      <c r="L814">
        <v>802</v>
      </c>
      <c r="M814" s="13">
        <v>97884.853848718019</v>
      </c>
    </row>
    <row r="815" spans="12:13" x14ac:dyDescent="0.3">
      <c r="L815">
        <v>803</v>
      </c>
      <c r="M815" s="13">
        <v>82799.732438276216</v>
      </c>
    </row>
    <row r="816" spans="12:13" x14ac:dyDescent="0.3">
      <c r="L816">
        <v>804</v>
      </c>
      <c r="M816" s="13">
        <v>43614.505311469562</v>
      </c>
    </row>
    <row r="817" spans="12:13" x14ac:dyDescent="0.3">
      <c r="L817">
        <v>805</v>
      </c>
      <c r="M817" s="13">
        <v>103607.50951955921</v>
      </c>
    </row>
    <row r="818" spans="12:13" x14ac:dyDescent="0.3">
      <c r="L818">
        <v>806</v>
      </c>
      <c r="M818" s="13">
        <v>177096.04653685071</v>
      </c>
    </row>
    <row r="819" spans="12:13" x14ac:dyDescent="0.3">
      <c r="L819">
        <v>807</v>
      </c>
      <c r="M819" s="13">
        <v>128973.90591854026</v>
      </c>
    </row>
    <row r="820" spans="12:13" x14ac:dyDescent="0.3">
      <c r="L820">
        <v>808</v>
      </c>
      <c r="M820" s="13">
        <v>98300.823754901678</v>
      </c>
    </row>
    <row r="821" spans="12:13" x14ac:dyDescent="0.3">
      <c r="L821">
        <v>809</v>
      </c>
      <c r="M821" s="13">
        <v>87113.101224530925</v>
      </c>
    </row>
    <row r="822" spans="12:13" x14ac:dyDescent="0.3">
      <c r="L822">
        <v>810</v>
      </c>
      <c r="M822" s="13">
        <v>97465.626816735457</v>
      </c>
    </row>
    <row r="823" spans="12:13" x14ac:dyDescent="0.3">
      <c r="L823">
        <v>811</v>
      </c>
      <c r="M823" s="13">
        <v>147243.21340433529</v>
      </c>
    </row>
    <row r="824" spans="12:13" x14ac:dyDescent="0.3">
      <c r="L824">
        <v>812</v>
      </c>
      <c r="M824" s="13">
        <v>64737.428738679329</v>
      </c>
    </row>
    <row r="825" spans="12:13" x14ac:dyDescent="0.3">
      <c r="L825">
        <v>813</v>
      </c>
      <c r="M825" s="13">
        <v>133035.40835883719</v>
      </c>
    </row>
    <row r="826" spans="12:13" x14ac:dyDescent="0.3">
      <c r="L826">
        <v>814</v>
      </c>
      <c r="M826" s="13">
        <v>84783.553223616007</v>
      </c>
    </row>
    <row r="827" spans="12:13" x14ac:dyDescent="0.3">
      <c r="L827">
        <v>815</v>
      </c>
      <c r="M827" s="13">
        <v>161473.56082975244</v>
      </c>
    </row>
    <row r="828" spans="12:13" x14ac:dyDescent="0.3">
      <c r="L828">
        <v>816</v>
      </c>
      <c r="M828" s="13">
        <v>90239.506125092594</v>
      </c>
    </row>
    <row r="829" spans="12:13" x14ac:dyDescent="0.3">
      <c r="L829">
        <v>817</v>
      </c>
      <c r="M829" s="13">
        <v>103170.68551135043</v>
      </c>
    </row>
    <row r="830" spans="12:13" x14ac:dyDescent="0.3">
      <c r="L830">
        <v>818</v>
      </c>
      <c r="M830" s="13">
        <v>100429.59945290242</v>
      </c>
    </row>
    <row r="831" spans="12:13" x14ac:dyDescent="0.3">
      <c r="L831">
        <v>819</v>
      </c>
      <c r="M831" s="13">
        <v>162076.6418262439</v>
      </c>
    </row>
    <row r="832" spans="12:13" x14ac:dyDescent="0.3">
      <c r="L832">
        <v>820</v>
      </c>
      <c r="M832" s="13">
        <v>106127.39452754662</v>
      </c>
    </row>
    <row r="833" spans="12:13" x14ac:dyDescent="0.3">
      <c r="L833">
        <v>821</v>
      </c>
      <c r="M833" s="13">
        <v>129563.08412817854</v>
      </c>
    </row>
    <row r="834" spans="12:13" x14ac:dyDescent="0.3">
      <c r="L834">
        <v>822</v>
      </c>
      <c r="M834" s="13">
        <v>57357.218683546074</v>
      </c>
    </row>
    <row r="835" spans="12:13" x14ac:dyDescent="0.3">
      <c r="L835">
        <v>823</v>
      </c>
      <c r="M835" s="13">
        <v>71222.749485033128</v>
      </c>
    </row>
    <row r="836" spans="12:13" x14ac:dyDescent="0.3">
      <c r="L836">
        <v>824</v>
      </c>
      <c r="M836" s="13">
        <v>128104.32452606582</v>
      </c>
    </row>
    <row r="837" spans="12:13" x14ac:dyDescent="0.3">
      <c r="L837">
        <v>825</v>
      </c>
      <c r="M837" s="13">
        <v>86205.279917625478</v>
      </c>
    </row>
    <row r="838" spans="12:13" x14ac:dyDescent="0.3">
      <c r="L838">
        <v>826</v>
      </c>
      <c r="M838" s="13">
        <v>138183.30170179007</v>
      </c>
    </row>
    <row r="839" spans="12:13" x14ac:dyDescent="0.3">
      <c r="L839">
        <v>827</v>
      </c>
      <c r="M839" s="13">
        <v>132592.13033731346</v>
      </c>
    </row>
    <row r="840" spans="12:13" x14ac:dyDescent="0.3">
      <c r="L840">
        <v>828</v>
      </c>
      <c r="M840" s="13">
        <v>116531.52252459392</v>
      </c>
    </row>
    <row r="841" spans="12:13" x14ac:dyDescent="0.3">
      <c r="L841">
        <v>829</v>
      </c>
      <c r="M841" s="13">
        <v>158621.99751364</v>
      </c>
    </row>
    <row r="842" spans="12:13" x14ac:dyDescent="0.3">
      <c r="L842">
        <v>830</v>
      </c>
      <c r="M842" s="13">
        <v>147476.62653506431</v>
      </c>
    </row>
    <row r="843" spans="12:13" x14ac:dyDescent="0.3">
      <c r="L843">
        <v>831</v>
      </c>
      <c r="M843" s="13">
        <v>99985.810967146419</v>
      </c>
    </row>
    <row r="844" spans="12:13" x14ac:dyDescent="0.3">
      <c r="L844">
        <v>832</v>
      </c>
      <c r="M844" s="13">
        <v>174715.0755129699</v>
      </c>
    </row>
    <row r="845" spans="12:13" x14ac:dyDescent="0.3">
      <c r="L845">
        <v>833</v>
      </c>
      <c r="M845" s="13">
        <v>126851.62444520261</v>
      </c>
    </row>
    <row r="846" spans="12:13" x14ac:dyDescent="0.3">
      <c r="L846">
        <v>834</v>
      </c>
      <c r="M846" s="13">
        <v>152268.21851262258</v>
      </c>
    </row>
    <row r="847" spans="12:13" x14ac:dyDescent="0.3">
      <c r="L847">
        <v>835</v>
      </c>
      <c r="M847" s="13">
        <v>159607.7970555202</v>
      </c>
    </row>
    <row r="848" spans="12:13" x14ac:dyDescent="0.3">
      <c r="L848">
        <v>836</v>
      </c>
      <c r="M848" s="13">
        <v>130879.81794993853</v>
      </c>
    </row>
    <row r="849" spans="12:13" x14ac:dyDescent="0.3">
      <c r="L849">
        <v>837</v>
      </c>
      <c r="M849" s="13">
        <v>90432.972245148907</v>
      </c>
    </row>
    <row r="850" spans="12:13" x14ac:dyDescent="0.3">
      <c r="L850">
        <v>838</v>
      </c>
      <c r="M850" s="13">
        <v>125286.37082934915</v>
      </c>
    </row>
    <row r="851" spans="12:13" x14ac:dyDescent="0.3">
      <c r="L851">
        <v>839</v>
      </c>
      <c r="M851" s="13">
        <v>64472.387982389715</v>
      </c>
    </row>
    <row r="852" spans="12:13" x14ac:dyDescent="0.3">
      <c r="L852">
        <v>840</v>
      </c>
      <c r="M852" s="13">
        <v>133757.42247660266</v>
      </c>
    </row>
    <row r="853" spans="12:13" x14ac:dyDescent="0.3">
      <c r="L853">
        <v>841</v>
      </c>
      <c r="M853" s="13">
        <v>83276.622939029126</v>
      </c>
    </row>
    <row r="854" spans="12:13" x14ac:dyDescent="0.3">
      <c r="L854">
        <v>842</v>
      </c>
      <c r="M854" s="13">
        <v>148943.16579644053</v>
      </c>
    </row>
    <row r="855" spans="12:13" x14ac:dyDescent="0.3">
      <c r="L855">
        <v>843</v>
      </c>
      <c r="M855" s="13">
        <v>83407.019802738665</v>
      </c>
    </row>
    <row r="856" spans="12:13" x14ac:dyDescent="0.3">
      <c r="L856">
        <v>844</v>
      </c>
      <c r="M856" s="13">
        <v>93259.789296186063</v>
      </c>
    </row>
    <row r="857" spans="12:13" x14ac:dyDescent="0.3">
      <c r="L857">
        <v>845</v>
      </c>
      <c r="M857" s="13">
        <v>131604.12285423488</v>
      </c>
    </row>
    <row r="858" spans="12:13" x14ac:dyDescent="0.3">
      <c r="L858">
        <v>846</v>
      </c>
      <c r="M858" s="13">
        <v>59026.551750910818</v>
      </c>
    </row>
    <row r="859" spans="12:13" x14ac:dyDescent="0.3">
      <c r="L859">
        <v>847</v>
      </c>
      <c r="M859" s="13">
        <v>91310.213861259399</v>
      </c>
    </row>
    <row r="860" spans="12:13" x14ac:dyDescent="0.3">
      <c r="L860">
        <v>848</v>
      </c>
      <c r="M860" s="13">
        <v>135300.51914021239</v>
      </c>
    </row>
    <row r="861" spans="12:13" x14ac:dyDescent="0.3">
      <c r="L861">
        <v>849</v>
      </c>
      <c r="M861" s="13">
        <v>124823.87451489827</v>
      </c>
    </row>
    <row r="862" spans="12:13" x14ac:dyDescent="0.3">
      <c r="L862">
        <v>850</v>
      </c>
      <c r="M862" s="13">
        <v>147944.82091771963</v>
      </c>
    </row>
    <row r="863" spans="12:13" x14ac:dyDescent="0.3">
      <c r="L863">
        <v>851</v>
      </c>
      <c r="M863" s="13">
        <v>132883.90986152922</v>
      </c>
    </row>
    <row r="864" spans="12:13" x14ac:dyDescent="0.3">
      <c r="L864">
        <v>852</v>
      </c>
      <c r="M864" s="13">
        <v>142123.5392925932</v>
      </c>
    </row>
    <row r="865" spans="12:13" x14ac:dyDescent="0.3">
      <c r="L865">
        <v>853</v>
      </c>
      <c r="M865" s="13">
        <v>126516.25880054614</v>
      </c>
    </row>
    <row r="866" spans="12:13" x14ac:dyDescent="0.3">
      <c r="L866">
        <v>854</v>
      </c>
      <c r="M866" s="13">
        <v>135660.94049203914</v>
      </c>
    </row>
    <row r="867" spans="12:13" x14ac:dyDescent="0.3">
      <c r="L867">
        <v>855</v>
      </c>
      <c r="M867" s="13">
        <v>89202.021302430396</v>
      </c>
    </row>
    <row r="868" spans="12:13" x14ac:dyDescent="0.3">
      <c r="L868">
        <v>856</v>
      </c>
      <c r="M868" s="13">
        <v>138285.04022073851</v>
      </c>
    </row>
    <row r="869" spans="12:13" x14ac:dyDescent="0.3">
      <c r="L869">
        <v>857</v>
      </c>
      <c r="M869" s="13">
        <v>170039.87392027385</v>
      </c>
    </row>
    <row r="870" spans="12:13" x14ac:dyDescent="0.3">
      <c r="L870">
        <v>858</v>
      </c>
      <c r="M870" s="13">
        <v>146617.18333838275</v>
      </c>
    </row>
    <row r="871" spans="12:13" x14ac:dyDescent="0.3">
      <c r="L871">
        <v>859</v>
      </c>
      <c r="M871" s="13">
        <v>113753.51734021233</v>
      </c>
    </row>
    <row r="872" spans="12:13" x14ac:dyDescent="0.3">
      <c r="L872">
        <v>860</v>
      </c>
      <c r="M872" s="13">
        <v>108596.5766413724</v>
      </c>
    </row>
    <row r="873" spans="12:13" x14ac:dyDescent="0.3">
      <c r="L873">
        <v>861</v>
      </c>
      <c r="M873" s="13">
        <v>150030.41991439054</v>
      </c>
    </row>
    <row r="874" spans="12:13" x14ac:dyDescent="0.3">
      <c r="L874">
        <v>862</v>
      </c>
      <c r="M874" s="13">
        <v>107135.86139752899</v>
      </c>
    </row>
    <row r="875" spans="12:13" x14ac:dyDescent="0.3">
      <c r="L875">
        <v>863</v>
      </c>
      <c r="M875" s="13">
        <v>144053.42871612916</v>
      </c>
    </row>
    <row r="876" spans="12:13" x14ac:dyDescent="0.3">
      <c r="L876">
        <v>864</v>
      </c>
      <c r="M876" s="13">
        <v>211410.52536395544</v>
      </c>
    </row>
    <row r="877" spans="12:13" x14ac:dyDescent="0.3">
      <c r="L877">
        <v>865</v>
      </c>
      <c r="M877" s="13">
        <v>90463.145031151827</v>
      </c>
    </row>
    <row r="878" spans="12:13" x14ac:dyDescent="0.3">
      <c r="L878">
        <v>866</v>
      </c>
      <c r="M878" s="13">
        <v>103451.0847334674</v>
      </c>
    </row>
    <row r="879" spans="12:13" x14ac:dyDescent="0.3">
      <c r="L879">
        <v>867</v>
      </c>
      <c r="M879" s="13">
        <v>154819.00870215439</v>
      </c>
    </row>
    <row r="880" spans="12:13" x14ac:dyDescent="0.3">
      <c r="L880">
        <v>868</v>
      </c>
      <c r="M880" s="13">
        <v>138239.54544564534</v>
      </c>
    </row>
    <row r="881" spans="12:13" x14ac:dyDescent="0.3">
      <c r="L881">
        <v>869</v>
      </c>
      <c r="M881" s="13">
        <v>61397.182296022627</v>
      </c>
    </row>
    <row r="882" spans="12:13" x14ac:dyDescent="0.3">
      <c r="L882">
        <v>870</v>
      </c>
      <c r="M882" s="13">
        <v>180715.33639275748</v>
      </c>
    </row>
    <row r="883" spans="12:13" x14ac:dyDescent="0.3">
      <c r="L883">
        <v>871</v>
      </c>
      <c r="M883" s="13">
        <v>163653.73956780261</v>
      </c>
    </row>
    <row r="884" spans="12:13" x14ac:dyDescent="0.3">
      <c r="L884">
        <v>872</v>
      </c>
      <c r="M884" s="13">
        <v>106224.68914079186</v>
      </c>
    </row>
    <row r="885" spans="12:13" x14ac:dyDescent="0.3">
      <c r="L885">
        <v>873</v>
      </c>
      <c r="M885" s="13">
        <v>150384.49592783174</v>
      </c>
    </row>
    <row r="886" spans="12:13" x14ac:dyDescent="0.3">
      <c r="L886">
        <v>874</v>
      </c>
      <c r="M886" s="13">
        <v>38715.438790663771</v>
      </c>
    </row>
    <row r="887" spans="12:13" x14ac:dyDescent="0.3">
      <c r="L887">
        <v>875</v>
      </c>
      <c r="M887" s="13">
        <v>99385.570785499556</v>
      </c>
    </row>
    <row r="888" spans="12:13" x14ac:dyDescent="0.3">
      <c r="L888">
        <v>876</v>
      </c>
      <c r="M888" s="13">
        <v>104243.57707324572</v>
      </c>
    </row>
    <row r="889" spans="12:13" x14ac:dyDescent="0.3">
      <c r="L889">
        <v>877</v>
      </c>
      <c r="M889" s="13">
        <v>98179.852261954657</v>
      </c>
    </row>
    <row r="890" spans="12:13" x14ac:dyDescent="0.3">
      <c r="L890">
        <v>878</v>
      </c>
      <c r="M890" s="13">
        <v>76069.349711035771</v>
      </c>
    </row>
    <row r="891" spans="12:13" x14ac:dyDescent="0.3">
      <c r="L891">
        <v>879</v>
      </c>
      <c r="M891" s="13">
        <v>80278.94213615678</v>
      </c>
    </row>
    <row r="892" spans="12:13" x14ac:dyDescent="0.3">
      <c r="L892">
        <v>880</v>
      </c>
      <c r="M892" s="13">
        <v>199781.08944816372</v>
      </c>
    </row>
    <row r="893" spans="12:13" x14ac:dyDescent="0.3">
      <c r="L893">
        <v>881</v>
      </c>
      <c r="M893" s="13">
        <v>91931.140379375822</v>
      </c>
    </row>
    <row r="894" spans="12:13" x14ac:dyDescent="0.3">
      <c r="L894">
        <v>882</v>
      </c>
      <c r="M894" s="13">
        <v>126377.92514364011</v>
      </c>
    </row>
    <row r="895" spans="12:13" x14ac:dyDescent="0.3">
      <c r="L895">
        <v>883</v>
      </c>
      <c r="M895" s="13">
        <v>140427.81125733475</v>
      </c>
    </row>
    <row r="896" spans="12:13" x14ac:dyDescent="0.3">
      <c r="L896">
        <v>884</v>
      </c>
      <c r="M896" s="13">
        <v>69536.332276495144</v>
      </c>
    </row>
    <row r="897" spans="12:13" x14ac:dyDescent="0.3">
      <c r="L897">
        <v>885</v>
      </c>
      <c r="M897" s="13">
        <v>100775.06029319382</v>
      </c>
    </row>
    <row r="898" spans="12:13" x14ac:dyDescent="0.3">
      <c r="L898">
        <v>886</v>
      </c>
      <c r="M898" s="13">
        <v>89327.235068751121</v>
      </c>
    </row>
    <row r="899" spans="12:13" x14ac:dyDescent="0.3">
      <c r="L899">
        <v>887</v>
      </c>
      <c r="M899" s="13">
        <v>217805.98998803235</v>
      </c>
    </row>
    <row r="900" spans="12:13" x14ac:dyDescent="0.3">
      <c r="L900">
        <v>888</v>
      </c>
      <c r="M900" s="13">
        <v>70229.944333083549</v>
      </c>
    </row>
    <row r="901" spans="12:13" x14ac:dyDescent="0.3">
      <c r="L901">
        <v>889</v>
      </c>
      <c r="M901" s="13">
        <v>71386.833533168188</v>
      </c>
    </row>
    <row r="902" spans="12:13" x14ac:dyDescent="0.3">
      <c r="L902">
        <v>890</v>
      </c>
      <c r="M902" s="13">
        <v>88500.213560181073</v>
      </c>
    </row>
    <row r="903" spans="12:13" x14ac:dyDescent="0.3">
      <c r="L903">
        <v>891</v>
      </c>
      <c r="M903" s="13">
        <v>200842.42657697102</v>
      </c>
    </row>
    <row r="904" spans="12:13" x14ac:dyDescent="0.3">
      <c r="L904">
        <v>892</v>
      </c>
      <c r="M904" s="13">
        <v>130672.8014957009</v>
      </c>
    </row>
    <row r="905" spans="12:13" x14ac:dyDescent="0.3">
      <c r="L905">
        <v>893</v>
      </c>
      <c r="M905" s="13">
        <v>69586.032479499059</v>
      </c>
    </row>
    <row r="906" spans="12:13" x14ac:dyDescent="0.3">
      <c r="L906">
        <v>894</v>
      </c>
      <c r="M906" s="13">
        <v>143745.33896400023</v>
      </c>
    </row>
    <row r="907" spans="12:13" x14ac:dyDescent="0.3">
      <c r="L907">
        <v>895</v>
      </c>
      <c r="M907" s="13">
        <v>127279.50552691115</v>
      </c>
    </row>
    <row r="908" spans="12:13" x14ac:dyDescent="0.3">
      <c r="L908">
        <v>896</v>
      </c>
      <c r="M908" s="13">
        <v>119396.41257842601</v>
      </c>
    </row>
    <row r="909" spans="12:13" x14ac:dyDescent="0.3">
      <c r="L909">
        <v>897</v>
      </c>
      <c r="M909" s="13">
        <v>76699.224216121234</v>
      </c>
    </row>
    <row r="910" spans="12:13" x14ac:dyDescent="0.3">
      <c r="L910">
        <v>898</v>
      </c>
      <c r="M910" s="13">
        <v>122219.36450712959</v>
      </c>
    </row>
    <row r="911" spans="12:13" x14ac:dyDescent="0.3">
      <c r="L911">
        <v>899</v>
      </c>
      <c r="M911" s="13">
        <v>92870.287828246626</v>
      </c>
    </row>
    <row r="912" spans="12:13" x14ac:dyDescent="0.3">
      <c r="L912">
        <v>900</v>
      </c>
      <c r="M912" s="13">
        <v>63623.346634646114</v>
      </c>
    </row>
    <row r="913" spans="12:13" x14ac:dyDescent="0.3">
      <c r="L913">
        <v>901</v>
      </c>
      <c r="M913" s="13">
        <v>82167.31144802284</v>
      </c>
    </row>
    <row r="914" spans="12:13" x14ac:dyDescent="0.3">
      <c r="L914">
        <v>902</v>
      </c>
      <c r="M914" s="13">
        <v>129603.34194924691</v>
      </c>
    </row>
    <row r="915" spans="12:13" x14ac:dyDescent="0.3">
      <c r="L915">
        <v>903</v>
      </c>
      <c r="M915" s="13">
        <v>79299.130143865041</v>
      </c>
    </row>
    <row r="916" spans="12:13" x14ac:dyDescent="0.3">
      <c r="L916">
        <v>904</v>
      </c>
      <c r="M916" s="13">
        <v>119537.16206773522</v>
      </c>
    </row>
    <row r="917" spans="12:13" x14ac:dyDescent="0.3">
      <c r="L917">
        <v>905</v>
      </c>
      <c r="M917" s="13">
        <v>141909.04357251863</v>
      </c>
    </row>
    <row r="918" spans="12:13" x14ac:dyDescent="0.3">
      <c r="L918">
        <v>906</v>
      </c>
      <c r="M918" s="13">
        <v>112887.35066085047</v>
      </c>
    </row>
    <row r="919" spans="12:13" x14ac:dyDescent="0.3">
      <c r="L919">
        <v>907</v>
      </c>
      <c r="M919" s="13">
        <v>119974.69716154796</v>
      </c>
    </row>
    <row r="920" spans="12:13" x14ac:dyDescent="0.3">
      <c r="L920">
        <v>908</v>
      </c>
      <c r="M920" s="13">
        <v>97582.33226251509</v>
      </c>
    </row>
    <row r="921" spans="12:13" x14ac:dyDescent="0.3">
      <c r="L921">
        <v>909</v>
      </c>
      <c r="M921" s="13">
        <v>113423.66371484564</v>
      </c>
    </row>
    <row r="922" spans="12:13" x14ac:dyDescent="0.3">
      <c r="L922">
        <v>910</v>
      </c>
      <c r="M922" s="13">
        <v>208215.35081000545</v>
      </c>
    </row>
    <row r="923" spans="12:13" x14ac:dyDescent="0.3">
      <c r="L923">
        <v>911</v>
      </c>
      <c r="M923" s="13">
        <v>101157.37976145162</v>
      </c>
    </row>
    <row r="924" spans="12:13" x14ac:dyDescent="0.3">
      <c r="L924">
        <v>912</v>
      </c>
      <c r="M924" s="13">
        <v>137610.87519309696</v>
      </c>
    </row>
    <row r="925" spans="12:13" x14ac:dyDescent="0.3">
      <c r="L925">
        <v>913</v>
      </c>
      <c r="M925" s="13">
        <v>104321.06932454481</v>
      </c>
    </row>
    <row r="926" spans="12:13" x14ac:dyDescent="0.3">
      <c r="L926">
        <v>914</v>
      </c>
      <c r="M926" s="13">
        <v>141866.1156553966</v>
      </c>
    </row>
    <row r="927" spans="12:13" x14ac:dyDescent="0.3">
      <c r="L927">
        <v>915</v>
      </c>
      <c r="M927" s="13">
        <v>81723.809800409188</v>
      </c>
    </row>
    <row r="928" spans="12:13" x14ac:dyDescent="0.3">
      <c r="L928">
        <v>916</v>
      </c>
      <c r="M928" s="13">
        <v>101402.10398209849</v>
      </c>
    </row>
    <row r="929" spans="12:13" x14ac:dyDescent="0.3">
      <c r="L929">
        <v>917</v>
      </c>
      <c r="M929" s="13">
        <v>75897.31709844232</v>
      </c>
    </row>
    <row r="930" spans="12:13" x14ac:dyDescent="0.3">
      <c r="L930">
        <v>918</v>
      </c>
      <c r="M930" s="13">
        <v>105040.48319347057</v>
      </c>
    </row>
    <row r="931" spans="12:13" x14ac:dyDescent="0.3">
      <c r="L931">
        <v>919</v>
      </c>
      <c r="M931" s="13">
        <v>108290.58947058607</v>
      </c>
    </row>
    <row r="932" spans="12:13" x14ac:dyDescent="0.3">
      <c r="L932">
        <v>920</v>
      </c>
      <c r="M932" s="13">
        <v>89468.158112320161</v>
      </c>
    </row>
    <row r="933" spans="12:13" x14ac:dyDescent="0.3">
      <c r="L933">
        <v>921</v>
      </c>
      <c r="M933" s="13">
        <v>113202.2486344685</v>
      </c>
    </row>
    <row r="934" spans="12:13" x14ac:dyDescent="0.3">
      <c r="L934">
        <v>922</v>
      </c>
      <c r="M934" s="13">
        <v>100314.97786268459</v>
      </c>
    </row>
    <row r="935" spans="12:13" x14ac:dyDescent="0.3">
      <c r="L935">
        <v>923</v>
      </c>
      <c r="M935" s="13">
        <v>132344.66583455459</v>
      </c>
    </row>
    <row r="936" spans="12:13" x14ac:dyDescent="0.3">
      <c r="L936">
        <v>924</v>
      </c>
      <c r="M936" s="13">
        <v>91468.427678052918</v>
      </c>
    </row>
    <row r="937" spans="12:13" x14ac:dyDescent="0.3">
      <c r="L937">
        <v>925</v>
      </c>
      <c r="M937" s="13">
        <v>96930.184457043244</v>
      </c>
    </row>
    <row r="938" spans="12:13" x14ac:dyDescent="0.3">
      <c r="L938">
        <v>926</v>
      </c>
      <c r="M938" s="13">
        <v>123942.54674037639</v>
      </c>
    </row>
    <row r="939" spans="12:13" x14ac:dyDescent="0.3">
      <c r="L939">
        <v>927</v>
      </c>
      <c r="M939" s="13">
        <v>169759.3555255094</v>
      </c>
    </row>
    <row r="940" spans="12:13" x14ac:dyDescent="0.3">
      <c r="L940">
        <v>928</v>
      </c>
      <c r="M940" s="13">
        <v>55419.080557847927</v>
      </c>
    </row>
    <row r="941" spans="12:13" x14ac:dyDescent="0.3">
      <c r="L941">
        <v>929</v>
      </c>
      <c r="M941" s="13">
        <v>146602.77282805971</v>
      </c>
    </row>
    <row r="942" spans="12:13" x14ac:dyDescent="0.3">
      <c r="L942">
        <v>930</v>
      </c>
      <c r="M942" s="13">
        <v>60314.580875541898</v>
      </c>
    </row>
    <row r="943" spans="12:13" x14ac:dyDescent="0.3">
      <c r="L943">
        <v>931</v>
      </c>
      <c r="M943" s="13">
        <v>58782.884621675985</v>
      </c>
    </row>
    <row r="944" spans="12:13" x14ac:dyDescent="0.3">
      <c r="L944">
        <v>932</v>
      </c>
      <c r="M944" s="13">
        <v>129514.1235932534</v>
      </c>
    </row>
    <row r="945" spans="12:13" x14ac:dyDescent="0.3">
      <c r="L945">
        <v>933</v>
      </c>
      <c r="M945" s="13">
        <v>160607.07841537424</v>
      </c>
    </row>
    <row r="946" spans="12:13" x14ac:dyDescent="0.3">
      <c r="L946">
        <v>934</v>
      </c>
      <c r="M946" s="13">
        <v>66996.491045205301</v>
      </c>
    </row>
    <row r="947" spans="12:13" x14ac:dyDescent="0.3">
      <c r="L947">
        <v>935</v>
      </c>
      <c r="M947" s="13">
        <v>170805.25615851802</v>
      </c>
    </row>
    <row r="948" spans="12:13" x14ac:dyDescent="0.3">
      <c r="L948">
        <v>936</v>
      </c>
      <c r="M948" s="13">
        <v>102780.59495019497</v>
      </c>
    </row>
    <row r="949" spans="12:13" x14ac:dyDescent="0.3">
      <c r="L949">
        <v>937</v>
      </c>
      <c r="M949" s="13">
        <v>90884.071204135253</v>
      </c>
    </row>
    <row r="950" spans="12:13" x14ac:dyDescent="0.3">
      <c r="L950">
        <v>938</v>
      </c>
      <c r="M950" s="13">
        <v>173225.76002069187</v>
      </c>
    </row>
    <row r="951" spans="12:13" x14ac:dyDescent="0.3">
      <c r="L951">
        <v>939</v>
      </c>
      <c r="M951" s="13">
        <v>59361.774705962751</v>
      </c>
    </row>
    <row r="952" spans="12:13" x14ac:dyDescent="0.3">
      <c r="L952">
        <v>940</v>
      </c>
      <c r="M952" s="13">
        <v>77399.760606793163</v>
      </c>
    </row>
    <row r="953" spans="12:13" x14ac:dyDescent="0.3">
      <c r="L953">
        <v>941</v>
      </c>
      <c r="M953" s="13">
        <v>145728.2103818563</v>
      </c>
    </row>
    <row r="954" spans="12:13" x14ac:dyDescent="0.3">
      <c r="L954">
        <v>942</v>
      </c>
      <c r="M954" s="13">
        <v>68670.043121201597</v>
      </c>
    </row>
    <row r="955" spans="12:13" x14ac:dyDescent="0.3">
      <c r="L955">
        <v>943</v>
      </c>
      <c r="M955" s="13">
        <v>78948.423123531524</v>
      </c>
    </row>
    <row r="956" spans="12:13" x14ac:dyDescent="0.3">
      <c r="L956">
        <v>944</v>
      </c>
      <c r="M956" s="13">
        <v>195947.76670802126</v>
      </c>
    </row>
    <row r="957" spans="12:13" x14ac:dyDescent="0.3">
      <c r="L957">
        <v>945</v>
      </c>
      <c r="M957" s="13">
        <v>37142.711528950895</v>
      </c>
    </row>
    <row r="958" spans="12:13" x14ac:dyDescent="0.3">
      <c r="L958">
        <v>946</v>
      </c>
      <c r="M958" s="13">
        <v>70629.934888682328</v>
      </c>
    </row>
    <row r="959" spans="12:13" x14ac:dyDescent="0.3">
      <c r="L959">
        <v>947</v>
      </c>
      <c r="M959" s="13">
        <v>116637.98260080282</v>
      </c>
    </row>
    <row r="960" spans="12:13" x14ac:dyDescent="0.3">
      <c r="L960">
        <v>948</v>
      </c>
      <c r="M960" s="13">
        <v>124754.94257634538</v>
      </c>
    </row>
    <row r="961" spans="12:13" x14ac:dyDescent="0.3">
      <c r="L961">
        <v>949</v>
      </c>
      <c r="M961" s="13">
        <v>88241.61973042952</v>
      </c>
    </row>
    <row r="962" spans="12:13" x14ac:dyDescent="0.3">
      <c r="L962">
        <v>950</v>
      </c>
      <c r="M962" s="13">
        <v>80343.548491650363</v>
      </c>
    </row>
    <row r="963" spans="12:13" x14ac:dyDescent="0.3">
      <c r="L963">
        <v>951</v>
      </c>
      <c r="M963" s="13">
        <v>185766.85344097507</v>
      </c>
    </row>
    <row r="964" spans="12:13" x14ac:dyDescent="0.3">
      <c r="L964">
        <v>952</v>
      </c>
      <c r="M964" s="13">
        <v>111261.37993814333</v>
      </c>
    </row>
    <row r="965" spans="12:13" x14ac:dyDescent="0.3">
      <c r="L965">
        <v>953</v>
      </c>
      <c r="M965" s="13">
        <v>143232.52840516908</v>
      </c>
    </row>
    <row r="966" spans="12:13" x14ac:dyDescent="0.3">
      <c r="L966">
        <v>954</v>
      </c>
      <c r="M966" s="13">
        <v>101045.3500933797</v>
      </c>
    </row>
    <row r="967" spans="12:13" x14ac:dyDescent="0.3">
      <c r="L967">
        <v>955</v>
      </c>
      <c r="M967" s="13">
        <v>101909.80447940204</v>
      </c>
    </row>
    <row r="968" spans="12:13" x14ac:dyDescent="0.3">
      <c r="L968">
        <v>956</v>
      </c>
      <c r="M968" s="13">
        <v>129813.87446031554</v>
      </c>
    </row>
    <row r="969" spans="12:13" x14ac:dyDescent="0.3">
      <c r="L969">
        <v>957</v>
      </c>
      <c r="M969" s="13">
        <v>179185.15240453384</v>
      </c>
    </row>
    <row r="970" spans="12:13" x14ac:dyDescent="0.3">
      <c r="L970">
        <v>958</v>
      </c>
      <c r="M970" s="13">
        <v>109764.22435101864</v>
      </c>
    </row>
    <row r="971" spans="12:13" x14ac:dyDescent="0.3">
      <c r="L971">
        <v>959</v>
      </c>
      <c r="M971" s="13">
        <v>148959.13010424495</v>
      </c>
    </row>
    <row r="972" spans="12:13" x14ac:dyDescent="0.3">
      <c r="L972">
        <v>960</v>
      </c>
      <c r="M972" s="13">
        <v>99233.525977747733</v>
      </c>
    </row>
    <row r="973" spans="12:13" x14ac:dyDescent="0.3">
      <c r="L973">
        <v>961</v>
      </c>
      <c r="M973" s="13">
        <v>146496.6490335752</v>
      </c>
    </row>
    <row r="974" spans="12:13" x14ac:dyDescent="0.3">
      <c r="L974">
        <v>962</v>
      </c>
      <c r="M974" s="13">
        <v>128183.05791305717</v>
      </c>
    </row>
    <row r="975" spans="12:13" x14ac:dyDescent="0.3">
      <c r="L975">
        <v>963</v>
      </c>
      <c r="M975" s="13">
        <v>86813.909587993374</v>
      </c>
    </row>
    <row r="976" spans="12:13" x14ac:dyDescent="0.3">
      <c r="L976">
        <v>964</v>
      </c>
      <c r="M976" s="13">
        <v>101912.24874159391</v>
      </c>
    </row>
    <row r="977" spans="12:13" x14ac:dyDescent="0.3">
      <c r="L977">
        <v>965</v>
      </c>
      <c r="M977" s="13">
        <v>102866.65918557066</v>
      </c>
    </row>
    <row r="978" spans="12:13" x14ac:dyDescent="0.3">
      <c r="L978">
        <v>966</v>
      </c>
      <c r="M978" s="13">
        <v>107738.49424686265</v>
      </c>
    </row>
    <row r="979" spans="12:13" x14ac:dyDescent="0.3">
      <c r="L979">
        <v>967</v>
      </c>
      <c r="M979" s="13">
        <v>102243.94171923061</v>
      </c>
    </row>
    <row r="980" spans="12:13" x14ac:dyDescent="0.3">
      <c r="L980">
        <v>968</v>
      </c>
      <c r="M980" s="13">
        <v>123280.33415426241</v>
      </c>
    </row>
    <row r="981" spans="12:13" x14ac:dyDescent="0.3">
      <c r="L981">
        <v>969</v>
      </c>
      <c r="M981" s="13">
        <v>120574.7391732104</v>
      </c>
    </row>
    <row r="982" spans="12:13" x14ac:dyDescent="0.3">
      <c r="L982">
        <v>970</v>
      </c>
      <c r="M982" s="13">
        <v>128106.0372417763</v>
      </c>
    </row>
    <row r="983" spans="12:13" x14ac:dyDescent="0.3">
      <c r="L983">
        <v>971</v>
      </c>
      <c r="M983" s="13">
        <v>147741.24347173728</v>
      </c>
    </row>
    <row r="984" spans="12:13" x14ac:dyDescent="0.3">
      <c r="L984">
        <v>972</v>
      </c>
      <c r="M984" s="13">
        <v>93668.211440405488</v>
      </c>
    </row>
    <row r="985" spans="12:13" x14ac:dyDescent="0.3">
      <c r="L985">
        <v>973</v>
      </c>
      <c r="M985" s="13">
        <v>143898.36115963501</v>
      </c>
    </row>
    <row r="986" spans="12:13" x14ac:dyDescent="0.3">
      <c r="L986">
        <v>974</v>
      </c>
      <c r="M986" s="13">
        <v>109547.14314253215</v>
      </c>
    </row>
    <row r="987" spans="12:13" x14ac:dyDescent="0.3">
      <c r="L987">
        <v>975</v>
      </c>
      <c r="M987" s="13">
        <v>92786.57007148955</v>
      </c>
    </row>
    <row r="988" spans="12:13" x14ac:dyDescent="0.3">
      <c r="L988">
        <v>976</v>
      </c>
      <c r="M988" s="13">
        <v>89591.360721439865</v>
      </c>
    </row>
    <row r="989" spans="12:13" x14ac:dyDescent="0.3">
      <c r="L989">
        <v>977</v>
      </c>
      <c r="M989" s="13">
        <v>71079.408529840977</v>
      </c>
    </row>
    <row r="990" spans="12:13" x14ac:dyDescent="0.3">
      <c r="L990">
        <v>978</v>
      </c>
      <c r="M990" s="13">
        <v>100285.84818628831</v>
      </c>
    </row>
    <row r="991" spans="12:13" x14ac:dyDescent="0.3">
      <c r="L991">
        <v>979</v>
      </c>
      <c r="M991" s="13">
        <v>174730.21130275103</v>
      </c>
    </row>
    <row r="992" spans="12:13" x14ac:dyDescent="0.3">
      <c r="L992">
        <v>980</v>
      </c>
      <c r="M992" s="13">
        <v>132980.36934695306</v>
      </c>
    </row>
    <row r="993" spans="12:13" x14ac:dyDescent="0.3">
      <c r="L993">
        <v>981</v>
      </c>
      <c r="M993" s="13">
        <v>138165.68405590448</v>
      </c>
    </row>
    <row r="994" spans="12:13" x14ac:dyDescent="0.3">
      <c r="L994">
        <v>982</v>
      </c>
      <c r="M994" s="13">
        <v>180898.37919890301</v>
      </c>
    </row>
    <row r="995" spans="12:13" x14ac:dyDescent="0.3">
      <c r="L995">
        <v>983</v>
      </c>
      <c r="M995" s="13">
        <v>142614.5705482229</v>
      </c>
    </row>
    <row r="996" spans="12:13" x14ac:dyDescent="0.3">
      <c r="L996">
        <v>984</v>
      </c>
      <c r="M996" s="13">
        <v>66214.42204727768</v>
      </c>
    </row>
    <row r="997" spans="12:13" x14ac:dyDescent="0.3">
      <c r="L997">
        <v>985</v>
      </c>
      <c r="M997" s="13">
        <v>41842.955565041528</v>
      </c>
    </row>
    <row r="998" spans="12:13" x14ac:dyDescent="0.3">
      <c r="L998">
        <v>986</v>
      </c>
      <c r="M998" s="13">
        <v>113600.38901053218</v>
      </c>
    </row>
    <row r="999" spans="12:13" x14ac:dyDescent="0.3">
      <c r="L999">
        <v>987</v>
      </c>
      <c r="M999" s="13">
        <v>141076.37581008178</v>
      </c>
    </row>
    <row r="1000" spans="12:13" x14ac:dyDescent="0.3">
      <c r="L1000">
        <v>988</v>
      </c>
      <c r="M1000" s="13">
        <v>198317.14252752508</v>
      </c>
    </row>
    <row r="1001" spans="12:13" x14ac:dyDescent="0.3">
      <c r="L1001">
        <v>989</v>
      </c>
      <c r="M1001" s="13">
        <v>58714.631305498973</v>
      </c>
    </row>
    <row r="1002" spans="12:13" x14ac:dyDescent="0.3">
      <c r="L1002">
        <v>990</v>
      </c>
      <c r="M1002" s="13">
        <v>70868.083440853748</v>
      </c>
    </row>
    <row r="1003" spans="12:13" x14ac:dyDescent="0.3">
      <c r="L1003">
        <v>991</v>
      </c>
      <c r="M1003" s="13">
        <v>140565.96773809893</v>
      </c>
    </row>
    <row r="1004" spans="12:13" x14ac:dyDescent="0.3">
      <c r="L1004">
        <v>992</v>
      </c>
      <c r="M1004" s="13">
        <v>154947.44102353122</v>
      </c>
    </row>
    <row r="1005" spans="12:13" x14ac:dyDescent="0.3">
      <c r="L1005">
        <v>993</v>
      </c>
      <c r="M1005" s="13">
        <v>101230.50981517389</v>
      </c>
    </row>
    <row r="1006" spans="12:13" x14ac:dyDescent="0.3">
      <c r="L1006">
        <v>994</v>
      </c>
      <c r="M1006" s="13">
        <v>118943.69703191033</v>
      </c>
    </row>
    <row r="1007" spans="12:13" x14ac:dyDescent="0.3">
      <c r="L1007">
        <v>995</v>
      </c>
      <c r="M1007" s="13">
        <v>103198.98560124231</v>
      </c>
    </row>
    <row r="1008" spans="12:13" x14ac:dyDescent="0.3">
      <c r="L1008">
        <v>996</v>
      </c>
      <c r="M1008" s="13">
        <v>139482.3412341385</v>
      </c>
    </row>
    <row r="1009" spans="12:13" x14ac:dyDescent="0.3">
      <c r="L1009">
        <v>997</v>
      </c>
      <c r="M1009" s="13">
        <v>192111.54369785666</v>
      </c>
    </row>
    <row r="1010" spans="12:13" x14ac:dyDescent="0.3">
      <c r="L1010">
        <v>998</v>
      </c>
      <c r="M1010" s="13">
        <v>70815.320999734337</v>
      </c>
    </row>
    <row r="1011" spans="12:13" x14ac:dyDescent="0.3">
      <c r="L1011">
        <v>999</v>
      </c>
      <c r="M1011" s="13">
        <v>105717.23507544136</v>
      </c>
    </row>
    <row r="1012" spans="12:13" x14ac:dyDescent="0.3">
      <c r="L1012">
        <v>1000</v>
      </c>
      <c r="M1012" s="13">
        <v>96337.284331180766</v>
      </c>
    </row>
    <row r="1013" spans="12:13" x14ac:dyDescent="0.3">
      <c r="M1013" s="13"/>
    </row>
    <row r="1014" spans="12:13" x14ac:dyDescent="0.3">
      <c r="M1014" s="13"/>
    </row>
    <row r="1015" spans="12:13" x14ac:dyDescent="0.3">
      <c r="M1015" s="13"/>
    </row>
    <row r="1016" spans="12:13" x14ac:dyDescent="0.3">
      <c r="M1016" s="13"/>
    </row>
    <row r="1017" spans="12:13" x14ac:dyDescent="0.3">
      <c r="M1017" s="13"/>
    </row>
    <row r="1018" spans="12:13" x14ac:dyDescent="0.3">
      <c r="M1018" s="13"/>
    </row>
    <row r="1019" spans="12:13" x14ac:dyDescent="0.3">
      <c r="M1019" s="13"/>
    </row>
    <row r="1020" spans="12:13" x14ac:dyDescent="0.3">
      <c r="M1020" s="13"/>
    </row>
    <row r="1021" spans="12:13" x14ac:dyDescent="0.3">
      <c r="M1021" s="13"/>
    </row>
    <row r="1022" spans="12:13" x14ac:dyDescent="0.3">
      <c r="M1022" s="13"/>
    </row>
    <row r="1023" spans="12:13" x14ac:dyDescent="0.3">
      <c r="M1023" s="13"/>
    </row>
    <row r="1024" spans="12:13" x14ac:dyDescent="0.3">
      <c r="M1024" s="13"/>
    </row>
    <row r="1025" spans="13:13" x14ac:dyDescent="0.3">
      <c r="M1025" s="13"/>
    </row>
    <row r="1026" spans="13:13" x14ac:dyDescent="0.3">
      <c r="M1026" s="13"/>
    </row>
    <row r="1027" spans="13:13" x14ac:dyDescent="0.3">
      <c r="M1027" s="13"/>
    </row>
    <row r="1028" spans="13:13" x14ac:dyDescent="0.3">
      <c r="M1028" s="13"/>
    </row>
    <row r="1029" spans="13:13" x14ac:dyDescent="0.3">
      <c r="M1029" s="13"/>
    </row>
    <row r="1030" spans="13:13" x14ac:dyDescent="0.3">
      <c r="M1030" s="13"/>
    </row>
    <row r="1031" spans="13:13" x14ac:dyDescent="0.3">
      <c r="M1031" s="13"/>
    </row>
    <row r="1032" spans="13:13" x14ac:dyDescent="0.3">
      <c r="M1032" s="13"/>
    </row>
    <row r="1033" spans="13:13" x14ac:dyDescent="0.3">
      <c r="M1033" s="13"/>
    </row>
    <row r="1034" spans="13:13" x14ac:dyDescent="0.3">
      <c r="M1034" s="13"/>
    </row>
    <row r="1035" spans="13:13" x14ac:dyDescent="0.3">
      <c r="M1035" s="13"/>
    </row>
    <row r="1036" spans="13:13" x14ac:dyDescent="0.3">
      <c r="M1036" s="13"/>
    </row>
    <row r="1037" spans="13:13" x14ac:dyDescent="0.3">
      <c r="M1037" s="13"/>
    </row>
    <row r="1038" spans="13:13" x14ac:dyDescent="0.3">
      <c r="M1038" s="13"/>
    </row>
    <row r="1039" spans="13:13" x14ac:dyDescent="0.3">
      <c r="M1039" s="13"/>
    </row>
    <row r="1040" spans="13:13" x14ac:dyDescent="0.3">
      <c r="M1040" s="13"/>
    </row>
    <row r="1041" spans="13:13" x14ac:dyDescent="0.3">
      <c r="M1041" s="13"/>
    </row>
    <row r="1042" spans="13:13" x14ac:dyDescent="0.3">
      <c r="M1042" s="13"/>
    </row>
    <row r="1043" spans="13:13" x14ac:dyDescent="0.3">
      <c r="M1043" s="13"/>
    </row>
    <row r="1044" spans="13:13" x14ac:dyDescent="0.3">
      <c r="M1044" s="13"/>
    </row>
    <row r="1045" spans="13:13" x14ac:dyDescent="0.3">
      <c r="M1045" s="13"/>
    </row>
    <row r="1046" spans="13:13" x14ac:dyDescent="0.3">
      <c r="M1046" s="13"/>
    </row>
    <row r="1047" spans="13:13" x14ac:dyDescent="0.3">
      <c r="M1047" s="13"/>
    </row>
    <row r="1048" spans="13:13" x14ac:dyDescent="0.3">
      <c r="M1048" s="13"/>
    </row>
    <row r="1049" spans="13:13" x14ac:dyDescent="0.3">
      <c r="M1049" s="13"/>
    </row>
    <row r="1050" spans="13:13" x14ac:dyDescent="0.3">
      <c r="M1050" s="13"/>
    </row>
    <row r="1051" spans="13:13" x14ac:dyDescent="0.3">
      <c r="M1051" s="13"/>
    </row>
    <row r="1052" spans="13:13" x14ac:dyDescent="0.3">
      <c r="M1052" s="13"/>
    </row>
    <row r="1053" spans="13:13" x14ac:dyDescent="0.3">
      <c r="M1053" s="13"/>
    </row>
    <row r="1054" spans="13:13" x14ac:dyDescent="0.3">
      <c r="M1054" s="13"/>
    </row>
    <row r="1055" spans="13:13" x14ac:dyDescent="0.3">
      <c r="M1055" s="13"/>
    </row>
    <row r="1056" spans="13:13" x14ac:dyDescent="0.3">
      <c r="M1056" s="13"/>
    </row>
    <row r="1057" spans="13:13" x14ac:dyDescent="0.3">
      <c r="M1057" s="13"/>
    </row>
    <row r="1058" spans="13:13" x14ac:dyDescent="0.3">
      <c r="M1058" s="13"/>
    </row>
    <row r="1059" spans="13:13" x14ac:dyDescent="0.3">
      <c r="M1059" s="13"/>
    </row>
    <row r="1060" spans="13:13" x14ac:dyDescent="0.3">
      <c r="M1060" s="13"/>
    </row>
    <row r="1061" spans="13:13" x14ac:dyDescent="0.3">
      <c r="M1061" s="13"/>
    </row>
    <row r="1062" spans="13:13" x14ac:dyDescent="0.3">
      <c r="M1062" s="13"/>
    </row>
    <row r="1063" spans="13:13" x14ac:dyDescent="0.3">
      <c r="M1063" s="13"/>
    </row>
    <row r="1064" spans="13:13" x14ac:dyDescent="0.3">
      <c r="M1064" s="13"/>
    </row>
    <row r="1065" spans="13:13" x14ac:dyDescent="0.3">
      <c r="M1065" s="13"/>
    </row>
    <row r="1066" spans="13:13" x14ac:dyDescent="0.3">
      <c r="M1066" s="13"/>
    </row>
    <row r="1067" spans="13:13" x14ac:dyDescent="0.3">
      <c r="M1067" s="13"/>
    </row>
    <row r="1068" spans="13:13" x14ac:dyDescent="0.3">
      <c r="M1068" s="13"/>
    </row>
    <row r="1069" spans="13:13" x14ac:dyDescent="0.3">
      <c r="M1069" s="13"/>
    </row>
    <row r="1070" spans="13:13" x14ac:dyDescent="0.3">
      <c r="M1070" s="13"/>
    </row>
    <row r="1071" spans="13:13" x14ac:dyDescent="0.3">
      <c r="M1071" s="13"/>
    </row>
    <row r="1072" spans="13:13" x14ac:dyDescent="0.3">
      <c r="M1072" s="13"/>
    </row>
    <row r="1073" spans="13:13" x14ac:dyDescent="0.3">
      <c r="M1073" s="13"/>
    </row>
    <row r="1074" spans="13:13" x14ac:dyDescent="0.3">
      <c r="M1074" s="13"/>
    </row>
    <row r="1075" spans="13:13" x14ac:dyDescent="0.3">
      <c r="M1075" s="13"/>
    </row>
    <row r="1076" spans="13:13" x14ac:dyDescent="0.3">
      <c r="M1076" s="13"/>
    </row>
    <row r="1077" spans="13:13" x14ac:dyDescent="0.3">
      <c r="M1077" s="13"/>
    </row>
    <row r="1078" spans="13:13" x14ac:dyDescent="0.3">
      <c r="M1078" s="13"/>
    </row>
    <row r="1079" spans="13:13" x14ac:dyDescent="0.3">
      <c r="M1079" s="13"/>
    </row>
    <row r="1080" spans="13:13" x14ac:dyDescent="0.3">
      <c r="M1080" s="13"/>
    </row>
    <row r="1081" spans="13:13" x14ac:dyDescent="0.3">
      <c r="M1081" s="13"/>
    </row>
    <row r="1082" spans="13:13" x14ac:dyDescent="0.3">
      <c r="M1082" s="13"/>
    </row>
    <row r="1083" spans="13:13" x14ac:dyDescent="0.3">
      <c r="M1083" s="13"/>
    </row>
    <row r="1084" spans="13:13" x14ac:dyDescent="0.3">
      <c r="M1084" s="13"/>
    </row>
    <row r="1085" spans="13:13" x14ac:dyDescent="0.3">
      <c r="M1085" s="13"/>
    </row>
    <row r="1086" spans="13:13" x14ac:dyDescent="0.3">
      <c r="M1086" s="13"/>
    </row>
    <row r="1087" spans="13:13" x14ac:dyDescent="0.3">
      <c r="M1087" s="13"/>
    </row>
    <row r="1088" spans="13:13" x14ac:dyDescent="0.3">
      <c r="M1088" s="13"/>
    </row>
    <row r="1089" spans="13:13" x14ac:dyDescent="0.3">
      <c r="M1089" s="13"/>
    </row>
    <row r="1090" spans="13:13" x14ac:dyDescent="0.3">
      <c r="M1090" s="13"/>
    </row>
    <row r="1091" spans="13:13" x14ac:dyDescent="0.3">
      <c r="M1091" s="13"/>
    </row>
    <row r="1092" spans="13:13" x14ac:dyDescent="0.3">
      <c r="M1092" s="13"/>
    </row>
    <row r="1093" spans="13:13" x14ac:dyDescent="0.3">
      <c r="M1093" s="13"/>
    </row>
    <row r="1094" spans="13:13" x14ac:dyDescent="0.3">
      <c r="M1094" s="13"/>
    </row>
    <row r="1095" spans="13:13" x14ac:dyDescent="0.3">
      <c r="M1095" s="13"/>
    </row>
    <row r="1096" spans="13:13" x14ac:dyDescent="0.3">
      <c r="M1096" s="13"/>
    </row>
    <row r="1097" spans="13:13" x14ac:dyDescent="0.3">
      <c r="M1097" s="13"/>
    </row>
    <row r="1098" spans="13:13" x14ac:dyDescent="0.3">
      <c r="M1098" s="13"/>
    </row>
    <row r="1099" spans="13:13" x14ac:dyDescent="0.3">
      <c r="M1099" s="13"/>
    </row>
    <row r="1100" spans="13:13" x14ac:dyDescent="0.3">
      <c r="M1100" s="13"/>
    </row>
    <row r="1101" spans="13:13" x14ac:dyDescent="0.3">
      <c r="M1101" s="13"/>
    </row>
    <row r="1102" spans="13:13" x14ac:dyDescent="0.3">
      <c r="M1102" s="13"/>
    </row>
    <row r="1103" spans="13:13" x14ac:dyDescent="0.3">
      <c r="M1103" s="13"/>
    </row>
    <row r="1104" spans="13:13" x14ac:dyDescent="0.3">
      <c r="M1104" s="13"/>
    </row>
    <row r="1105" spans="13:13" x14ac:dyDescent="0.3">
      <c r="M1105" s="13"/>
    </row>
    <row r="1106" spans="13:13" x14ac:dyDescent="0.3">
      <c r="M1106" s="13"/>
    </row>
    <row r="1107" spans="13:13" x14ac:dyDescent="0.3">
      <c r="M1107" s="13"/>
    </row>
    <row r="1108" spans="13:13" x14ac:dyDescent="0.3">
      <c r="M1108" s="13"/>
    </row>
    <row r="1109" spans="13:13" x14ac:dyDescent="0.3">
      <c r="M1109" s="13"/>
    </row>
    <row r="1110" spans="13:13" x14ac:dyDescent="0.3">
      <c r="M1110" s="13"/>
    </row>
    <row r="1111" spans="13:13" x14ac:dyDescent="0.3">
      <c r="M1111" s="13"/>
    </row>
    <row r="1112" spans="13:13" x14ac:dyDescent="0.3">
      <c r="M1112" s="13"/>
    </row>
    <row r="1113" spans="13:13" x14ac:dyDescent="0.3">
      <c r="M1113" s="13"/>
    </row>
    <row r="1114" spans="13:13" x14ac:dyDescent="0.3">
      <c r="M1114" s="13"/>
    </row>
    <row r="1115" spans="13:13" x14ac:dyDescent="0.3">
      <c r="M1115" s="13"/>
    </row>
    <row r="1116" spans="13:13" x14ac:dyDescent="0.3">
      <c r="M1116" s="13"/>
    </row>
    <row r="1117" spans="13:13" x14ac:dyDescent="0.3">
      <c r="M1117" s="13"/>
    </row>
    <row r="1118" spans="13:13" x14ac:dyDescent="0.3">
      <c r="M1118" s="13"/>
    </row>
    <row r="1119" spans="13:13" x14ac:dyDescent="0.3">
      <c r="M1119" s="13"/>
    </row>
    <row r="1120" spans="13:13" x14ac:dyDescent="0.3">
      <c r="M1120" s="13"/>
    </row>
    <row r="1121" spans="13:13" x14ac:dyDescent="0.3">
      <c r="M1121" s="13"/>
    </row>
    <row r="1122" spans="13:13" x14ac:dyDescent="0.3">
      <c r="M1122" s="13"/>
    </row>
    <row r="1123" spans="13:13" x14ac:dyDescent="0.3">
      <c r="M1123" s="13"/>
    </row>
    <row r="1124" spans="13:13" x14ac:dyDescent="0.3">
      <c r="M1124" s="13"/>
    </row>
    <row r="1125" spans="13:13" x14ac:dyDescent="0.3">
      <c r="M1125" s="13"/>
    </row>
    <row r="1126" spans="13:13" x14ac:dyDescent="0.3">
      <c r="M1126" s="13"/>
    </row>
    <row r="1127" spans="13:13" x14ac:dyDescent="0.3">
      <c r="M1127" s="13"/>
    </row>
    <row r="1128" spans="13:13" x14ac:dyDescent="0.3">
      <c r="M1128" s="13"/>
    </row>
    <row r="1129" spans="13:13" x14ac:dyDescent="0.3">
      <c r="M1129" s="13"/>
    </row>
    <row r="1130" spans="13:13" x14ac:dyDescent="0.3">
      <c r="M1130" s="13"/>
    </row>
    <row r="1131" spans="13:13" x14ac:dyDescent="0.3">
      <c r="M1131" s="13"/>
    </row>
    <row r="1132" spans="13:13" x14ac:dyDescent="0.3">
      <c r="M1132" s="13"/>
    </row>
    <row r="1133" spans="13:13" x14ac:dyDescent="0.3">
      <c r="M1133" s="13"/>
    </row>
    <row r="1134" spans="13:13" x14ac:dyDescent="0.3">
      <c r="M1134" s="13"/>
    </row>
    <row r="1135" spans="13:13" x14ac:dyDescent="0.3">
      <c r="M1135" s="13"/>
    </row>
    <row r="1136" spans="13:13" x14ac:dyDescent="0.3">
      <c r="M1136" s="13"/>
    </row>
    <row r="1137" spans="13:13" x14ac:dyDescent="0.3">
      <c r="M1137" s="13"/>
    </row>
    <row r="1138" spans="13:13" x14ac:dyDescent="0.3">
      <c r="M1138" s="13"/>
    </row>
    <row r="1139" spans="13:13" x14ac:dyDescent="0.3">
      <c r="M1139" s="13"/>
    </row>
    <row r="1140" spans="13:13" x14ac:dyDescent="0.3">
      <c r="M1140" s="13"/>
    </row>
    <row r="1141" spans="13:13" x14ac:dyDescent="0.3">
      <c r="M1141" s="13"/>
    </row>
    <row r="1142" spans="13:13" x14ac:dyDescent="0.3">
      <c r="M1142" s="13"/>
    </row>
    <row r="1143" spans="13:13" x14ac:dyDescent="0.3">
      <c r="M1143" s="13"/>
    </row>
    <row r="1144" spans="13:13" x14ac:dyDescent="0.3">
      <c r="M1144" s="13"/>
    </row>
    <row r="1145" spans="13:13" x14ac:dyDescent="0.3">
      <c r="M1145" s="13"/>
    </row>
    <row r="1146" spans="13:13" x14ac:dyDescent="0.3">
      <c r="M1146" s="13"/>
    </row>
    <row r="1147" spans="13:13" x14ac:dyDescent="0.3">
      <c r="M1147" s="13"/>
    </row>
    <row r="1148" spans="13:13" x14ac:dyDescent="0.3">
      <c r="M1148" s="13"/>
    </row>
    <row r="1149" spans="13:13" x14ac:dyDescent="0.3">
      <c r="M1149" s="13"/>
    </row>
    <row r="1150" spans="13:13" x14ac:dyDescent="0.3">
      <c r="M1150" s="13"/>
    </row>
    <row r="1151" spans="13:13" x14ac:dyDescent="0.3">
      <c r="M1151" s="13"/>
    </row>
    <row r="1152" spans="13:13" x14ac:dyDescent="0.3">
      <c r="M1152" s="13"/>
    </row>
    <row r="1153" spans="13:13" x14ac:dyDescent="0.3">
      <c r="M1153" s="13"/>
    </row>
    <row r="1154" spans="13:13" x14ac:dyDescent="0.3">
      <c r="M1154" s="13"/>
    </row>
    <row r="1155" spans="13:13" x14ac:dyDescent="0.3">
      <c r="M1155" s="13"/>
    </row>
    <row r="1156" spans="13:13" x14ac:dyDescent="0.3">
      <c r="M1156" s="13"/>
    </row>
    <row r="1157" spans="13:13" x14ac:dyDescent="0.3">
      <c r="M1157" s="13"/>
    </row>
    <row r="1158" spans="13:13" x14ac:dyDescent="0.3">
      <c r="M1158" s="13"/>
    </row>
    <row r="1159" spans="13:13" x14ac:dyDescent="0.3">
      <c r="M1159" s="13"/>
    </row>
    <row r="1160" spans="13:13" x14ac:dyDescent="0.3">
      <c r="M1160" s="13"/>
    </row>
    <row r="1161" spans="13:13" x14ac:dyDescent="0.3">
      <c r="M1161" s="13"/>
    </row>
    <row r="1162" spans="13:13" x14ac:dyDescent="0.3">
      <c r="M1162" s="13"/>
    </row>
    <row r="1163" spans="13:13" x14ac:dyDescent="0.3">
      <c r="M1163" s="13"/>
    </row>
    <row r="1164" spans="13:13" x14ac:dyDescent="0.3">
      <c r="M1164" s="13"/>
    </row>
    <row r="1165" spans="13:13" x14ac:dyDescent="0.3">
      <c r="M1165" s="13"/>
    </row>
    <row r="1166" spans="13:13" x14ac:dyDescent="0.3">
      <c r="M1166" s="13"/>
    </row>
    <row r="1167" spans="13:13" x14ac:dyDescent="0.3">
      <c r="M1167" s="13"/>
    </row>
    <row r="1168" spans="13:13" x14ac:dyDescent="0.3">
      <c r="M1168" s="13"/>
    </row>
    <row r="1169" spans="13:13" x14ac:dyDescent="0.3">
      <c r="M1169" s="13"/>
    </row>
    <row r="1170" spans="13:13" x14ac:dyDescent="0.3">
      <c r="M1170" s="13"/>
    </row>
    <row r="1171" spans="13:13" x14ac:dyDescent="0.3">
      <c r="M1171" s="13"/>
    </row>
    <row r="1172" spans="13:13" x14ac:dyDescent="0.3">
      <c r="M1172" s="13"/>
    </row>
    <row r="1173" spans="13:13" x14ac:dyDescent="0.3">
      <c r="M1173" s="13"/>
    </row>
    <row r="1174" spans="13:13" x14ac:dyDescent="0.3">
      <c r="M1174" s="13"/>
    </row>
    <row r="1175" spans="13:13" x14ac:dyDescent="0.3">
      <c r="M1175" s="13"/>
    </row>
    <row r="1176" spans="13:13" x14ac:dyDescent="0.3">
      <c r="M1176" s="13"/>
    </row>
    <row r="1177" spans="13:13" x14ac:dyDescent="0.3">
      <c r="M1177" s="13"/>
    </row>
    <row r="1178" spans="13:13" x14ac:dyDescent="0.3">
      <c r="M1178" s="13"/>
    </row>
    <row r="1179" spans="13:13" x14ac:dyDescent="0.3">
      <c r="M1179" s="13"/>
    </row>
    <row r="1180" spans="13:13" x14ac:dyDescent="0.3">
      <c r="M1180" s="13"/>
    </row>
    <row r="1181" spans="13:13" x14ac:dyDescent="0.3">
      <c r="M1181" s="13"/>
    </row>
    <row r="1182" spans="13:13" x14ac:dyDescent="0.3">
      <c r="M1182" s="13"/>
    </row>
    <row r="1183" spans="13:13" x14ac:dyDescent="0.3">
      <c r="M1183" s="13"/>
    </row>
    <row r="1184" spans="13:13" x14ac:dyDescent="0.3">
      <c r="M1184" s="13"/>
    </row>
    <row r="1185" spans="13:13" x14ac:dyDescent="0.3">
      <c r="M1185" s="13"/>
    </row>
    <row r="1186" spans="13:13" x14ac:dyDescent="0.3">
      <c r="M1186" s="13"/>
    </row>
    <row r="1187" spans="13:13" x14ac:dyDescent="0.3">
      <c r="M1187" s="13"/>
    </row>
    <row r="1188" spans="13:13" x14ac:dyDescent="0.3">
      <c r="M1188" s="13"/>
    </row>
    <row r="1189" spans="13:13" x14ac:dyDescent="0.3">
      <c r="M1189" s="13"/>
    </row>
    <row r="1190" spans="13:13" x14ac:dyDescent="0.3">
      <c r="M1190" s="13"/>
    </row>
    <row r="1191" spans="13:13" x14ac:dyDescent="0.3">
      <c r="M1191" s="13"/>
    </row>
    <row r="1192" spans="13:13" x14ac:dyDescent="0.3">
      <c r="M1192" s="13"/>
    </row>
    <row r="1193" spans="13:13" x14ac:dyDescent="0.3">
      <c r="M1193" s="13"/>
    </row>
    <row r="1194" spans="13:13" x14ac:dyDescent="0.3">
      <c r="M1194" s="13"/>
    </row>
    <row r="1195" spans="13:13" x14ac:dyDescent="0.3">
      <c r="M1195" s="13"/>
    </row>
    <row r="1196" spans="13:13" x14ac:dyDescent="0.3">
      <c r="M1196" s="13"/>
    </row>
    <row r="1197" spans="13:13" x14ac:dyDescent="0.3">
      <c r="M1197" s="13"/>
    </row>
    <row r="1198" spans="13:13" x14ac:dyDescent="0.3">
      <c r="M1198" s="13"/>
    </row>
    <row r="1199" spans="13:13" x14ac:dyDescent="0.3">
      <c r="M1199" s="13"/>
    </row>
    <row r="1200" spans="13:13" x14ac:dyDescent="0.3">
      <c r="M1200" s="13"/>
    </row>
    <row r="1201" spans="13:13" x14ac:dyDescent="0.3">
      <c r="M1201" s="13"/>
    </row>
    <row r="1202" spans="13:13" x14ac:dyDescent="0.3">
      <c r="M1202" s="13"/>
    </row>
    <row r="1203" spans="13:13" x14ac:dyDescent="0.3">
      <c r="M1203" s="13"/>
    </row>
    <row r="1204" spans="13:13" x14ac:dyDescent="0.3">
      <c r="M1204" s="13"/>
    </row>
    <row r="1205" spans="13:13" x14ac:dyDescent="0.3">
      <c r="M1205" s="13"/>
    </row>
    <row r="1206" spans="13:13" x14ac:dyDescent="0.3">
      <c r="M1206" s="13"/>
    </row>
    <row r="1207" spans="13:13" x14ac:dyDescent="0.3">
      <c r="M1207" s="13"/>
    </row>
    <row r="1208" spans="13:13" x14ac:dyDescent="0.3">
      <c r="M1208" s="13"/>
    </row>
    <row r="1209" spans="13:13" x14ac:dyDescent="0.3">
      <c r="M1209" s="13"/>
    </row>
    <row r="1210" spans="13:13" x14ac:dyDescent="0.3">
      <c r="M1210" s="13"/>
    </row>
    <row r="1211" spans="13:13" x14ac:dyDescent="0.3">
      <c r="M1211" s="13"/>
    </row>
    <row r="1212" spans="13:13" x14ac:dyDescent="0.3">
      <c r="M1212" s="13"/>
    </row>
    <row r="1213" spans="13:13" x14ac:dyDescent="0.3">
      <c r="M1213" s="13"/>
    </row>
    <row r="1214" spans="13:13" x14ac:dyDescent="0.3">
      <c r="M1214" s="13"/>
    </row>
    <row r="1215" spans="13:13" x14ac:dyDescent="0.3">
      <c r="M1215" s="13"/>
    </row>
    <row r="1216" spans="13:13" x14ac:dyDescent="0.3">
      <c r="M1216" s="13"/>
    </row>
    <row r="1217" spans="13:13" x14ac:dyDescent="0.3">
      <c r="M1217" s="13"/>
    </row>
    <row r="1218" spans="13:13" x14ac:dyDescent="0.3">
      <c r="M1218" s="13"/>
    </row>
    <row r="1219" spans="13:13" x14ac:dyDescent="0.3">
      <c r="M1219" s="13"/>
    </row>
    <row r="1220" spans="13:13" x14ac:dyDescent="0.3">
      <c r="M1220" s="13"/>
    </row>
    <row r="1221" spans="13:13" x14ac:dyDescent="0.3">
      <c r="M1221" s="13"/>
    </row>
    <row r="1222" spans="13:13" x14ac:dyDescent="0.3">
      <c r="M1222" s="13"/>
    </row>
    <row r="1223" spans="13:13" x14ac:dyDescent="0.3">
      <c r="M1223" s="13"/>
    </row>
    <row r="1224" spans="13:13" x14ac:dyDescent="0.3">
      <c r="M1224" s="13"/>
    </row>
    <row r="1225" spans="13:13" x14ac:dyDescent="0.3">
      <c r="M1225" s="13"/>
    </row>
    <row r="1226" spans="13:13" x14ac:dyDescent="0.3">
      <c r="M1226" s="13"/>
    </row>
    <row r="1227" spans="13:13" x14ac:dyDescent="0.3">
      <c r="M1227" s="13"/>
    </row>
    <row r="1228" spans="13:13" x14ac:dyDescent="0.3">
      <c r="M1228" s="13"/>
    </row>
    <row r="1229" spans="13:13" x14ac:dyDescent="0.3">
      <c r="M1229" s="13"/>
    </row>
    <row r="1230" spans="13:13" x14ac:dyDescent="0.3">
      <c r="M1230" s="13"/>
    </row>
    <row r="1231" spans="13:13" x14ac:dyDescent="0.3">
      <c r="M1231" s="13"/>
    </row>
    <row r="1232" spans="13:13" x14ac:dyDescent="0.3">
      <c r="M1232" s="13"/>
    </row>
    <row r="1233" spans="13:13" x14ac:dyDescent="0.3">
      <c r="M1233" s="13"/>
    </row>
    <row r="1234" spans="13:13" x14ac:dyDescent="0.3">
      <c r="M1234" s="13"/>
    </row>
    <row r="1235" spans="13:13" x14ac:dyDescent="0.3">
      <c r="M1235" s="13"/>
    </row>
    <row r="1236" spans="13:13" x14ac:dyDescent="0.3">
      <c r="M1236" s="13"/>
    </row>
    <row r="1237" spans="13:13" x14ac:dyDescent="0.3">
      <c r="M1237" s="13"/>
    </row>
    <row r="1238" spans="13:13" x14ac:dyDescent="0.3">
      <c r="M1238" s="13"/>
    </row>
    <row r="1239" spans="13:13" x14ac:dyDescent="0.3">
      <c r="M1239" s="13"/>
    </row>
    <row r="1240" spans="13:13" x14ac:dyDescent="0.3">
      <c r="M1240" s="13"/>
    </row>
    <row r="1241" spans="13:13" x14ac:dyDescent="0.3">
      <c r="M1241" s="13"/>
    </row>
    <row r="1242" spans="13:13" x14ac:dyDescent="0.3">
      <c r="M1242" s="13"/>
    </row>
    <row r="1243" spans="13:13" x14ac:dyDescent="0.3">
      <c r="M1243" s="13"/>
    </row>
    <row r="1244" spans="13:13" x14ac:dyDescent="0.3">
      <c r="M1244" s="13"/>
    </row>
    <row r="1245" spans="13:13" x14ac:dyDescent="0.3">
      <c r="M1245" s="13"/>
    </row>
    <row r="1246" spans="13:13" x14ac:dyDescent="0.3">
      <c r="M1246" s="13"/>
    </row>
    <row r="1247" spans="13:13" x14ac:dyDescent="0.3">
      <c r="M1247" s="13"/>
    </row>
    <row r="1248" spans="13:13" x14ac:dyDescent="0.3">
      <c r="M1248" s="13"/>
    </row>
    <row r="1249" spans="13:13" x14ac:dyDescent="0.3">
      <c r="M1249" s="13"/>
    </row>
    <row r="1250" spans="13:13" x14ac:dyDescent="0.3">
      <c r="M1250" s="13"/>
    </row>
    <row r="1251" spans="13:13" x14ac:dyDescent="0.3">
      <c r="M1251" s="13"/>
    </row>
    <row r="1252" spans="13:13" x14ac:dyDescent="0.3">
      <c r="M1252" s="13"/>
    </row>
    <row r="1253" spans="13:13" x14ac:dyDescent="0.3">
      <c r="M1253" s="13"/>
    </row>
    <row r="1254" spans="13:13" x14ac:dyDescent="0.3">
      <c r="M1254" s="13"/>
    </row>
    <row r="1255" spans="13:13" x14ac:dyDescent="0.3">
      <c r="M1255" s="13"/>
    </row>
    <row r="1256" spans="13:13" x14ac:dyDescent="0.3">
      <c r="M1256" s="13"/>
    </row>
    <row r="1257" spans="13:13" x14ac:dyDescent="0.3">
      <c r="M1257" s="13"/>
    </row>
    <row r="1258" spans="13:13" x14ac:dyDescent="0.3">
      <c r="M1258" s="13"/>
    </row>
    <row r="1259" spans="13:13" x14ac:dyDescent="0.3">
      <c r="M1259" s="13"/>
    </row>
    <row r="1260" spans="13:13" x14ac:dyDescent="0.3">
      <c r="M1260" s="13"/>
    </row>
    <row r="1261" spans="13:13" x14ac:dyDescent="0.3">
      <c r="M1261" s="13"/>
    </row>
    <row r="1262" spans="13:13" x14ac:dyDescent="0.3">
      <c r="M1262" s="13"/>
    </row>
    <row r="1263" spans="13:13" x14ac:dyDescent="0.3">
      <c r="M1263" s="13"/>
    </row>
    <row r="1264" spans="13:13" x14ac:dyDescent="0.3">
      <c r="M1264" s="13"/>
    </row>
    <row r="1265" spans="13:13" x14ac:dyDescent="0.3">
      <c r="M1265" s="13"/>
    </row>
    <row r="1266" spans="13:13" x14ac:dyDescent="0.3">
      <c r="M1266" s="13"/>
    </row>
    <row r="1267" spans="13:13" x14ac:dyDescent="0.3">
      <c r="M1267" s="13"/>
    </row>
    <row r="1268" spans="13:13" x14ac:dyDescent="0.3">
      <c r="M1268" s="13"/>
    </row>
    <row r="1269" spans="13:13" x14ac:dyDescent="0.3">
      <c r="M1269" s="13"/>
    </row>
    <row r="1270" spans="13:13" x14ac:dyDescent="0.3">
      <c r="M1270" s="13"/>
    </row>
    <row r="1271" spans="13:13" x14ac:dyDescent="0.3">
      <c r="M1271" s="13"/>
    </row>
    <row r="1272" spans="13:13" x14ac:dyDescent="0.3">
      <c r="M1272" s="13"/>
    </row>
    <row r="1273" spans="13:13" x14ac:dyDescent="0.3">
      <c r="M1273" s="13"/>
    </row>
    <row r="1274" spans="13:13" x14ac:dyDescent="0.3">
      <c r="M1274" s="13"/>
    </row>
    <row r="1275" spans="13:13" x14ac:dyDescent="0.3">
      <c r="M1275" s="13"/>
    </row>
    <row r="1276" spans="13:13" x14ac:dyDescent="0.3">
      <c r="M1276" s="13"/>
    </row>
    <row r="1277" spans="13:13" x14ac:dyDescent="0.3">
      <c r="M1277" s="13"/>
    </row>
    <row r="1278" spans="13:13" x14ac:dyDescent="0.3">
      <c r="M1278" s="13"/>
    </row>
    <row r="1279" spans="13:13" x14ac:dyDescent="0.3">
      <c r="M1279" s="13"/>
    </row>
    <row r="1280" spans="13:13" x14ac:dyDescent="0.3">
      <c r="M1280" s="13"/>
    </row>
    <row r="1281" spans="13:13" x14ac:dyDescent="0.3">
      <c r="M1281" s="13"/>
    </row>
    <row r="1282" spans="13:13" x14ac:dyDescent="0.3">
      <c r="M1282" s="13"/>
    </row>
    <row r="1283" spans="13:13" x14ac:dyDescent="0.3">
      <c r="M1283" s="13"/>
    </row>
    <row r="1284" spans="13:13" x14ac:dyDescent="0.3">
      <c r="M1284" s="13"/>
    </row>
    <row r="1285" spans="13:13" x14ac:dyDescent="0.3">
      <c r="M1285" s="13"/>
    </row>
    <row r="1286" spans="13:13" x14ac:dyDescent="0.3">
      <c r="M1286" s="13"/>
    </row>
    <row r="1287" spans="13:13" x14ac:dyDescent="0.3">
      <c r="M1287" s="13"/>
    </row>
    <row r="1288" spans="13:13" x14ac:dyDescent="0.3">
      <c r="M1288" s="13"/>
    </row>
    <row r="1289" spans="13:13" x14ac:dyDescent="0.3">
      <c r="M1289" s="13"/>
    </row>
    <row r="1290" spans="13:13" x14ac:dyDescent="0.3">
      <c r="M1290" s="13"/>
    </row>
    <row r="1291" spans="13:13" x14ac:dyDescent="0.3">
      <c r="M1291" s="13"/>
    </row>
    <row r="1292" spans="13:13" x14ac:dyDescent="0.3">
      <c r="M1292" s="13"/>
    </row>
    <row r="1293" spans="13:13" x14ac:dyDescent="0.3">
      <c r="M1293" s="13"/>
    </row>
    <row r="1294" spans="13:13" x14ac:dyDescent="0.3">
      <c r="M1294" s="13"/>
    </row>
    <row r="1295" spans="13:13" x14ac:dyDescent="0.3">
      <c r="M1295" s="13"/>
    </row>
    <row r="1296" spans="13:13" x14ac:dyDescent="0.3">
      <c r="M1296" s="13"/>
    </row>
    <row r="1297" spans="13:13" x14ac:dyDescent="0.3">
      <c r="M1297" s="13"/>
    </row>
    <row r="1298" spans="13:13" x14ac:dyDescent="0.3">
      <c r="M1298" s="13"/>
    </row>
    <row r="1299" spans="13:13" x14ac:dyDescent="0.3">
      <c r="M1299" s="13"/>
    </row>
    <row r="1300" spans="13:13" x14ac:dyDescent="0.3">
      <c r="M1300" s="13"/>
    </row>
    <row r="1301" spans="13:13" x14ac:dyDescent="0.3">
      <c r="M1301" s="13"/>
    </row>
    <row r="1302" spans="13:13" x14ac:dyDescent="0.3">
      <c r="M1302" s="13"/>
    </row>
    <row r="1303" spans="13:13" x14ac:dyDescent="0.3">
      <c r="M1303" s="13"/>
    </row>
    <row r="1304" spans="13:13" x14ac:dyDescent="0.3">
      <c r="M1304" s="13"/>
    </row>
    <row r="1305" spans="13:13" x14ac:dyDescent="0.3">
      <c r="M1305" s="13"/>
    </row>
    <row r="1306" spans="13:13" x14ac:dyDescent="0.3">
      <c r="M1306" s="13"/>
    </row>
    <row r="1307" spans="13:13" x14ac:dyDescent="0.3">
      <c r="M1307" s="13"/>
    </row>
    <row r="1308" spans="13:13" x14ac:dyDescent="0.3">
      <c r="M1308" s="13"/>
    </row>
    <row r="1309" spans="13:13" x14ac:dyDescent="0.3">
      <c r="M1309" s="13"/>
    </row>
    <row r="1310" spans="13:13" x14ac:dyDescent="0.3">
      <c r="M1310" s="13"/>
    </row>
    <row r="1311" spans="13:13" x14ac:dyDescent="0.3">
      <c r="M1311" s="13"/>
    </row>
    <row r="1312" spans="13:13" x14ac:dyDescent="0.3">
      <c r="M1312" s="13"/>
    </row>
    <row r="1313" spans="13:13" x14ac:dyDescent="0.3">
      <c r="M1313" s="13"/>
    </row>
    <row r="1314" spans="13:13" x14ac:dyDescent="0.3">
      <c r="M1314" s="13"/>
    </row>
    <row r="1315" spans="13:13" x14ac:dyDescent="0.3">
      <c r="M1315" s="13"/>
    </row>
    <row r="1316" spans="13:13" x14ac:dyDescent="0.3">
      <c r="M1316" s="13"/>
    </row>
    <row r="1317" spans="13:13" x14ac:dyDescent="0.3">
      <c r="M1317" s="13"/>
    </row>
    <row r="1318" spans="13:13" x14ac:dyDescent="0.3">
      <c r="M1318" s="13"/>
    </row>
    <row r="1319" spans="13:13" x14ac:dyDescent="0.3">
      <c r="M1319" s="13"/>
    </row>
    <row r="1320" spans="13:13" x14ac:dyDescent="0.3">
      <c r="M1320" s="13"/>
    </row>
    <row r="1321" spans="13:13" x14ac:dyDescent="0.3">
      <c r="M1321" s="13"/>
    </row>
    <row r="1322" spans="13:13" x14ac:dyDescent="0.3">
      <c r="M1322" s="13"/>
    </row>
    <row r="1323" spans="13:13" x14ac:dyDescent="0.3">
      <c r="M1323" s="13"/>
    </row>
    <row r="1324" spans="13:13" x14ac:dyDescent="0.3">
      <c r="M1324" s="13"/>
    </row>
    <row r="1325" spans="13:13" x14ac:dyDescent="0.3">
      <c r="M1325" s="13"/>
    </row>
    <row r="1326" spans="13:13" x14ac:dyDescent="0.3">
      <c r="M1326" s="13"/>
    </row>
    <row r="1327" spans="13:13" x14ac:dyDescent="0.3">
      <c r="M1327" s="13"/>
    </row>
    <row r="1328" spans="13:13" x14ac:dyDescent="0.3">
      <c r="M1328" s="13"/>
    </row>
    <row r="1329" spans="13:13" x14ac:dyDescent="0.3">
      <c r="M1329" s="13"/>
    </row>
    <row r="1330" spans="13:13" x14ac:dyDescent="0.3">
      <c r="M1330" s="13"/>
    </row>
    <row r="1331" spans="13:13" x14ac:dyDescent="0.3">
      <c r="M1331" s="13"/>
    </row>
    <row r="1332" spans="13:13" x14ac:dyDescent="0.3">
      <c r="M1332" s="13"/>
    </row>
    <row r="1333" spans="13:13" x14ac:dyDescent="0.3">
      <c r="M1333" s="13"/>
    </row>
    <row r="1334" spans="13:13" x14ac:dyDescent="0.3">
      <c r="M1334" s="13"/>
    </row>
    <row r="1335" spans="13:13" x14ac:dyDescent="0.3">
      <c r="M1335" s="13"/>
    </row>
    <row r="1336" spans="13:13" x14ac:dyDescent="0.3">
      <c r="M1336" s="13"/>
    </row>
    <row r="1337" spans="13:13" x14ac:dyDescent="0.3">
      <c r="M1337" s="13"/>
    </row>
    <row r="1338" spans="13:13" x14ac:dyDescent="0.3">
      <c r="M1338" s="13"/>
    </row>
    <row r="1339" spans="13:13" x14ac:dyDescent="0.3">
      <c r="M1339" s="13"/>
    </row>
    <row r="1340" spans="13:13" x14ac:dyDescent="0.3">
      <c r="M1340" s="13"/>
    </row>
    <row r="1341" spans="13:13" x14ac:dyDescent="0.3">
      <c r="M1341" s="13"/>
    </row>
    <row r="1342" spans="13:13" x14ac:dyDescent="0.3">
      <c r="M1342" s="13"/>
    </row>
    <row r="1343" spans="13:13" x14ac:dyDescent="0.3">
      <c r="M1343" s="13"/>
    </row>
    <row r="1344" spans="13:13" x14ac:dyDescent="0.3">
      <c r="M1344" s="13"/>
    </row>
    <row r="1345" spans="13:13" x14ac:dyDescent="0.3">
      <c r="M1345" s="13"/>
    </row>
    <row r="1346" spans="13:13" x14ac:dyDescent="0.3">
      <c r="M1346" s="13"/>
    </row>
    <row r="1347" spans="13:13" x14ac:dyDescent="0.3">
      <c r="M1347" s="13"/>
    </row>
    <row r="1348" spans="13:13" x14ac:dyDescent="0.3">
      <c r="M1348" s="13"/>
    </row>
    <row r="1349" spans="13:13" x14ac:dyDescent="0.3">
      <c r="M1349" s="13"/>
    </row>
    <row r="1350" spans="13:13" x14ac:dyDescent="0.3">
      <c r="M1350" s="13"/>
    </row>
    <row r="1351" spans="13:13" x14ac:dyDescent="0.3">
      <c r="M1351" s="13"/>
    </row>
    <row r="1352" spans="13:13" x14ac:dyDescent="0.3">
      <c r="M1352" s="13"/>
    </row>
    <row r="1353" spans="13:13" x14ac:dyDescent="0.3">
      <c r="M1353" s="13"/>
    </row>
    <row r="1354" spans="13:13" x14ac:dyDescent="0.3">
      <c r="M1354" s="13"/>
    </row>
    <row r="1355" spans="13:13" x14ac:dyDescent="0.3">
      <c r="M1355" s="13"/>
    </row>
    <row r="1356" spans="13:13" x14ac:dyDescent="0.3">
      <c r="M1356" s="13"/>
    </row>
    <row r="1357" spans="13:13" x14ac:dyDescent="0.3">
      <c r="M1357" s="13"/>
    </row>
    <row r="1358" spans="13:13" x14ac:dyDescent="0.3">
      <c r="M1358" s="13"/>
    </row>
    <row r="1359" spans="13:13" x14ac:dyDescent="0.3">
      <c r="M1359" s="13"/>
    </row>
    <row r="1360" spans="13:13" x14ac:dyDescent="0.3">
      <c r="M1360" s="13"/>
    </row>
    <row r="1361" spans="13:13" x14ac:dyDescent="0.3">
      <c r="M1361" s="13"/>
    </row>
    <row r="1362" spans="13:13" x14ac:dyDescent="0.3">
      <c r="M1362" s="13"/>
    </row>
    <row r="1363" spans="13:13" x14ac:dyDescent="0.3">
      <c r="M1363" s="13"/>
    </row>
    <row r="1364" spans="13:13" x14ac:dyDescent="0.3">
      <c r="M1364" s="13"/>
    </row>
    <row r="1365" spans="13:13" x14ac:dyDescent="0.3">
      <c r="M1365" s="13"/>
    </row>
    <row r="1366" spans="13:13" x14ac:dyDescent="0.3">
      <c r="M1366" s="13"/>
    </row>
    <row r="1367" spans="13:13" x14ac:dyDescent="0.3">
      <c r="M1367" s="13"/>
    </row>
    <row r="1368" spans="13:13" x14ac:dyDescent="0.3">
      <c r="M1368" s="13"/>
    </row>
    <row r="1369" spans="13:13" x14ac:dyDescent="0.3">
      <c r="M1369" s="13"/>
    </row>
    <row r="1370" spans="13:13" x14ac:dyDescent="0.3">
      <c r="M1370" s="13"/>
    </row>
    <row r="1371" spans="13:13" x14ac:dyDescent="0.3">
      <c r="M1371" s="13"/>
    </row>
    <row r="1372" spans="13:13" x14ac:dyDescent="0.3">
      <c r="M1372" s="13"/>
    </row>
    <row r="1373" spans="13:13" x14ac:dyDescent="0.3">
      <c r="M1373" s="13"/>
    </row>
    <row r="1374" spans="13:13" x14ac:dyDescent="0.3">
      <c r="M1374" s="13"/>
    </row>
    <row r="1375" spans="13:13" x14ac:dyDescent="0.3">
      <c r="M1375" s="13"/>
    </row>
    <row r="1376" spans="13:13" x14ac:dyDescent="0.3">
      <c r="M1376" s="13"/>
    </row>
    <row r="1377" spans="13:13" x14ac:dyDescent="0.3">
      <c r="M1377" s="13"/>
    </row>
    <row r="1378" spans="13:13" x14ac:dyDescent="0.3">
      <c r="M1378" s="13"/>
    </row>
    <row r="1379" spans="13:13" x14ac:dyDescent="0.3">
      <c r="M1379" s="13"/>
    </row>
    <row r="1380" spans="13:13" x14ac:dyDescent="0.3">
      <c r="M1380" s="13"/>
    </row>
    <row r="1381" spans="13:13" x14ac:dyDescent="0.3">
      <c r="M1381" s="13"/>
    </row>
    <row r="1382" spans="13:13" x14ac:dyDescent="0.3">
      <c r="M1382" s="13"/>
    </row>
    <row r="1383" spans="13:13" x14ac:dyDescent="0.3">
      <c r="M1383" s="13"/>
    </row>
    <row r="1384" spans="13:13" x14ac:dyDescent="0.3">
      <c r="M1384" s="13"/>
    </row>
    <row r="1385" spans="13:13" x14ac:dyDescent="0.3">
      <c r="M1385" s="13"/>
    </row>
    <row r="1386" spans="13:13" x14ac:dyDescent="0.3">
      <c r="M1386" s="13"/>
    </row>
    <row r="1387" spans="13:13" x14ac:dyDescent="0.3">
      <c r="M1387" s="13"/>
    </row>
    <row r="1388" spans="13:13" x14ac:dyDescent="0.3">
      <c r="M1388" s="13"/>
    </row>
    <row r="1389" spans="13:13" x14ac:dyDescent="0.3">
      <c r="M1389" s="13"/>
    </row>
    <row r="1390" spans="13:13" x14ac:dyDescent="0.3">
      <c r="M1390" s="13"/>
    </row>
    <row r="1391" spans="13:13" x14ac:dyDescent="0.3">
      <c r="M1391" s="13"/>
    </row>
    <row r="1392" spans="13:13" x14ac:dyDescent="0.3">
      <c r="M1392" s="13"/>
    </row>
    <row r="1393" spans="13:13" x14ac:dyDescent="0.3">
      <c r="M1393" s="13"/>
    </row>
    <row r="1394" spans="13:13" x14ac:dyDescent="0.3">
      <c r="M1394" s="13"/>
    </row>
    <row r="1395" spans="13:13" x14ac:dyDescent="0.3">
      <c r="M1395" s="13"/>
    </row>
    <row r="1396" spans="13:13" x14ac:dyDescent="0.3">
      <c r="M1396" s="13"/>
    </row>
    <row r="1397" spans="13:13" x14ac:dyDescent="0.3">
      <c r="M1397" s="13"/>
    </row>
    <row r="1398" spans="13:13" x14ac:dyDescent="0.3">
      <c r="M1398" s="13"/>
    </row>
    <row r="1399" spans="13:13" x14ac:dyDescent="0.3">
      <c r="M1399" s="13"/>
    </row>
    <row r="1400" spans="13:13" x14ac:dyDescent="0.3">
      <c r="M1400" s="13"/>
    </row>
    <row r="1401" spans="13:13" x14ac:dyDescent="0.3">
      <c r="M1401" s="13"/>
    </row>
    <row r="1402" spans="13:13" x14ac:dyDescent="0.3">
      <c r="M1402" s="13"/>
    </row>
    <row r="1403" spans="13:13" x14ac:dyDescent="0.3">
      <c r="M1403" s="13"/>
    </row>
    <row r="1404" spans="13:13" x14ac:dyDescent="0.3">
      <c r="M1404" s="13"/>
    </row>
    <row r="1405" spans="13:13" x14ac:dyDescent="0.3">
      <c r="M1405" s="13"/>
    </row>
    <row r="1406" spans="13:13" x14ac:dyDescent="0.3">
      <c r="M1406" s="13"/>
    </row>
    <row r="1407" spans="13:13" x14ac:dyDescent="0.3">
      <c r="M1407" s="13"/>
    </row>
    <row r="1408" spans="13:13" x14ac:dyDescent="0.3">
      <c r="M1408" s="13"/>
    </row>
    <row r="1409" spans="13:13" x14ac:dyDescent="0.3">
      <c r="M1409" s="13"/>
    </row>
    <row r="1410" spans="13:13" x14ac:dyDescent="0.3">
      <c r="M1410" s="13"/>
    </row>
    <row r="1411" spans="13:13" x14ac:dyDescent="0.3">
      <c r="M1411" s="13"/>
    </row>
    <row r="1412" spans="13:13" x14ac:dyDescent="0.3">
      <c r="M1412" s="13"/>
    </row>
    <row r="1413" spans="13:13" x14ac:dyDescent="0.3">
      <c r="M1413" s="13"/>
    </row>
    <row r="1414" spans="13:13" x14ac:dyDescent="0.3">
      <c r="M1414" s="13"/>
    </row>
    <row r="1415" spans="13:13" x14ac:dyDescent="0.3">
      <c r="M1415" s="13"/>
    </row>
    <row r="1416" spans="13:13" x14ac:dyDescent="0.3">
      <c r="M1416" s="13"/>
    </row>
    <row r="1417" spans="13:13" x14ac:dyDescent="0.3">
      <c r="M1417" s="13"/>
    </row>
    <row r="1418" spans="13:13" x14ac:dyDescent="0.3">
      <c r="M1418" s="13"/>
    </row>
    <row r="1419" spans="13:13" x14ac:dyDescent="0.3">
      <c r="M1419" s="13"/>
    </row>
    <row r="1420" spans="13:13" x14ac:dyDescent="0.3">
      <c r="M1420" s="13"/>
    </row>
    <row r="1421" spans="13:13" x14ac:dyDescent="0.3">
      <c r="M1421" s="13"/>
    </row>
    <row r="1422" spans="13:13" x14ac:dyDescent="0.3">
      <c r="M1422" s="13"/>
    </row>
    <row r="1423" spans="13:13" x14ac:dyDescent="0.3">
      <c r="M1423" s="13"/>
    </row>
    <row r="1424" spans="13:13" x14ac:dyDescent="0.3">
      <c r="M1424" s="13"/>
    </row>
    <row r="1425" spans="13:13" x14ac:dyDescent="0.3">
      <c r="M1425" s="13"/>
    </row>
    <row r="1426" spans="13:13" x14ac:dyDescent="0.3">
      <c r="M1426" s="13"/>
    </row>
    <row r="1427" spans="13:13" x14ac:dyDescent="0.3">
      <c r="M1427" s="13"/>
    </row>
    <row r="1428" spans="13:13" x14ac:dyDescent="0.3">
      <c r="M1428" s="13"/>
    </row>
    <row r="1429" spans="13:13" x14ac:dyDescent="0.3">
      <c r="M1429" s="13"/>
    </row>
    <row r="1430" spans="13:13" x14ac:dyDescent="0.3">
      <c r="M1430" s="13"/>
    </row>
    <row r="1431" spans="13:13" x14ac:dyDescent="0.3">
      <c r="M1431" s="13"/>
    </row>
    <row r="1432" spans="13:13" x14ac:dyDescent="0.3">
      <c r="M1432" s="13"/>
    </row>
    <row r="1433" spans="13:13" x14ac:dyDescent="0.3">
      <c r="M1433" s="13"/>
    </row>
    <row r="1434" spans="13:13" x14ac:dyDescent="0.3">
      <c r="M1434" s="13"/>
    </row>
    <row r="1435" spans="13:13" x14ac:dyDescent="0.3">
      <c r="M1435" s="13"/>
    </row>
    <row r="1436" spans="13:13" x14ac:dyDescent="0.3">
      <c r="M1436" s="13"/>
    </row>
    <row r="1437" spans="13:13" x14ac:dyDescent="0.3">
      <c r="M1437" s="13"/>
    </row>
    <row r="1438" spans="13:13" x14ac:dyDescent="0.3">
      <c r="M1438" s="13"/>
    </row>
    <row r="1439" spans="13:13" x14ac:dyDescent="0.3">
      <c r="M1439" s="13"/>
    </row>
    <row r="1440" spans="13:13" x14ac:dyDescent="0.3">
      <c r="M1440" s="13"/>
    </row>
    <row r="1441" spans="13:13" x14ac:dyDescent="0.3">
      <c r="M1441" s="13"/>
    </row>
    <row r="1442" spans="13:13" x14ac:dyDescent="0.3">
      <c r="M1442" s="13"/>
    </row>
    <row r="1443" spans="13:13" x14ac:dyDescent="0.3">
      <c r="M1443" s="13"/>
    </row>
    <row r="1444" spans="13:13" x14ac:dyDescent="0.3">
      <c r="M1444" s="13"/>
    </row>
    <row r="1445" spans="13:13" x14ac:dyDescent="0.3">
      <c r="M1445" s="13"/>
    </row>
    <row r="1446" spans="13:13" x14ac:dyDescent="0.3">
      <c r="M1446" s="13"/>
    </row>
    <row r="1447" spans="13:13" x14ac:dyDescent="0.3">
      <c r="M1447" s="13"/>
    </row>
    <row r="1448" spans="13:13" x14ac:dyDescent="0.3">
      <c r="M1448" s="13"/>
    </row>
    <row r="1449" spans="13:13" x14ac:dyDescent="0.3">
      <c r="M1449" s="13"/>
    </row>
    <row r="1450" spans="13:13" x14ac:dyDescent="0.3">
      <c r="M1450" s="13"/>
    </row>
    <row r="1451" spans="13:13" x14ac:dyDescent="0.3">
      <c r="M1451" s="13"/>
    </row>
    <row r="1452" spans="13:13" x14ac:dyDescent="0.3">
      <c r="M1452" s="13"/>
    </row>
    <row r="1453" spans="13:13" x14ac:dyDescent="0.3">
      <c r="M1453" s="13"/>
    </row>
    <row r="1454" spans="13:13" x14ac:dyDescent="0.3">
      <c r="M1454" s="13"/>
    </row>
    <row r="1455" spans="13:13" x14ac:dyDescent="0.3">
      <c r="M1455" s="13"/>
    </row>
    <row r="1456" spans="13:13" x14ac:dyDescent="0.3">
      <c r="M1456" s="13"/>
    </row>
    <row r="1457" spans="13:13" x14ac:dyDescent="0.3">
      <c r="M1457" s="13"/>
    </row>
    <row r="1458" spans="13:13" x14ac:dyDescent="0.3">
      <c r="M1458" s="13"/>
    </row>
    <row r="1459" spans="13:13" x14ac:dyDescent="0.3">
      <c r="M1459" s="13"/>
    </row>
    <row r="1460" spans="13:13" x14ac:dyDescent="0.3">
      <c r="M1460" s="13"/>
    </row>
    <row r="1461" spans="13:13" x14ac:dyDescent="0.3">
      <c r="M1461" s="13"/>
    </row>
    <row r="1462" spans="13:13" x14ac:dyDescent="0.3">
      <c r="M1462" s="13"/>
    </row>
    <row r="1463" spans="13:13" x14ac:dyDescent="0.3">
      <c r="M1463" s="13"/>
    </row>
    <row r="1464" spans="13:13" x14ac:dyDescent="0.3">
      <c r="M1464" s="13"/>
    </row>
    <row r="1465" spans="13:13" x14ac:dyDescent="0.3">
      <c r="M1465" s="13"/>
    </row>
    <row r="1466" spans="13:13" x14ac:dyDescent="0.3">
      <c r="M1466" s="13"/>
    </row>
    <row r="1467" spans="13:13" x14ac:dyDescent="0.3">
      <c r="M1467" s="13"/>
    </row>
    <row r="1468" spans="13:13" x14ac:dyDescent="0.3">
      <c r="M1468" s="13"/>
    </row>
    <row r="1469" spans="13:13" x14ac:dyDescent="0.3">
      <c r="M1469" s="13"/>
    </row>
    <row r="1470" spans="13:13" x14ac:dyDescent="0.3">
      <c r="M1470" s="13"/>
    </row>
    <row r="1471" spans="13:13" x14ac:dyDescent="0.3">
      <c r="M1471" s="13"/>
    </row>
    <row r="1472" spans="13:13" x14ac:dyDescent="0.3">
      <c r="M1472" s="13"/>
    </row>
    <row r="1473" spans="13:13" x14ac:dyDescent="0.3">
      <c r="M1473" s="13"/>
    </row>
    <row r="1474" spans="13:13" x14ac:dyDescent="0.3">
      <c r="M1474" s="13"/>
    </row>
    <row r="1475" spans="13:13" x14ac:dyDescent="0.3">
      <c r="M1475" s="13"/>
    </row>
    <row r="1476" spans="13:13" x14ac:dyDescent="0.3">
      <c r="M1476" s="13"/>
    </row>
    <row r="1477" spans="13:13" x14ac:dyDescent="0.3">
      <c r="M1477" s="13"/>
    </row>
    <row r="1478" spans="13:13" x14ac:dyDescent="0.3">
      <c r="M1478" s="13"/>
    </row>
    <row r="1479" spans="13:13" x14ac:dyDescent="0.3">
      <c r="M1479" s="13"/>
    </row>
    <row r="1480" spans="13:13" x14ac:dyDescent="0.3">
      <c r="M1480" s="13"/>
    </row>
    <row r="1481" spans="13:13" x14ac:dyDescent="0.3">
      <c r="M1481" s="13"/>
    </row>
    <row r="1482" spans="13:13" x14ac:dyDescent="0.3">
      <c r="M1482" s="13"/>
    </row>
    <row r="1483" spans="13:13" x14ac:dyDescent="0.3">
      <c r="M1483" s="13"/>
    </row>
    <row r="1484" spans="13:13" x14ac:dyDescent="0.3">
      <c r="M1484" s="13"/>
    </row>
    <row r="1485" spans="13:13" x14ac:dyDescent="0.3">
      <c r="M1485" s="13"/>
    </row>
    <row r="1486" spans="13:13" x14ac:dyDescent="0.3">
      <c r="M1486" s="13"/>
    </row>
    <row r="1487" spans="13:13" x14ac:dyDescent="0.3">
      <c r="M1487" s="13"/>
    </row>
    <row r="1488" spans="13:13" x14ac:dyDescent="0.3">
      <c r="M1488" s="13"/>
    </row>
    <row r="1489" spans="13:13" x14ac:dyDescent="0.3">
      <c r="M1489" s="13"/>
    </row>
    <row r="1490" spans="13:13" x14ac:dyDescent="0.3">
      <c r="M1490" s="13"/>
    </row>
    <row r="1491" spans="13:13" x14ac:dyDescent="0.3">
      <c r="M1491" s="13"/>
    </row>
    <row r="1492" spans="13:13" x14ac:dyDescent="0.3">
      <c r="M1492" s="13"/>
    </row>
    <row r="1493" spans="13:13" x14ac:dyDescent="0.3">
      <c r="M1493" s="13"/>
    </row>
    <row r="1494" spans="13:13" x14ac:dyDescent="0.3">
      <c r="M1494" s="13"/>
    </row>
    <row r="1495" spans="13:13" x14ac:dyDescent="0.3">
      <c r="M1495" s="13"/>
    </row>
    <row r="1496" spans="13:13" x14ac:dyDescent="0.3">
      <c r="M1496" s="13"/>
    </row>
    <row r="1497" spans="13:13" x14ac:dyDescent="0.3">
      <c r="M1497" s="13"/>
    </row>
    <row r="1498" spans="13:13" x14ac:dyDescent="0.3">
      <c r="M1498" s="13"/>
    </row>
    <row r="1499" spans="13:13" x14ac:dyDescent="0.3">
      <c r="M1499" s="13"/>
    </row>
    <row r="1500" spans="13:13" x14ac:dyDescent="0.3">
      <c r="M1500" s="13"/>
    </row>
    <row r="1501" spans="13:13" x14ac:dyDescent="0.3">
      <c r="M1501" s="13"/>
    </row>
    <row r="1502" spans="13:13" x14ac:dyDescent="0.3">
      <c r="M1502" s="13"/>
    </row>
    <row r="1503" spans="13:13" x14ac:dyDescent="0.3">
      <c r="M1503" s="13"/>
    </row>
    <row r="1504" spans="13:13" x14ac:dyDescent="0.3">
      <c r="M1504" s="13"/>
    </row>
    <row r="1505" spans="13:13" x14ac:dyDescent="0.3">
      <c r="M1505" s="13"/>
    </row>
    <row r="1506" spans="13:13" x14ac:dyDescent="0.3">
      <c r="M1506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nteCarloSim">
                <anchor moveWithCells="1" sizeWithCells="1">
                  <from>
                    <xdr:col>11</xdr:col>
                    <xdr:colOff>7620</xdr:colOff>
                    <xdr:row>2</xdr:row>
                    <xdr:rowOff>7620</xdr:rowOff>
                  </from>
                  <to>
                    <xdr:col>13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Monte Carlo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De Medeiros</dc:creator>
  <cp:lastModifiedBy>David De Medeiros</cp:lastModifiedBy>
  <dcterms:created xsi:type="dcterms:W3CDTF">2025-08-05T20:28:50Z</dcterms:created>
  <dcterms:modified xsi:type="dcterms:W3CDTF">2025-08-05T21:40:04Z</dcterms:modified>
</cp:coreProperties>
</file>